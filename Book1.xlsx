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Documents\"/>
    </mc:Choice>
  </mc:AlternateContent>
  <xr:revisionPtr revIDLastSave="0" documentId="13_ncr:1_{B35F23F4-EBC8-4F3F-B435-B641039DB94A}" xr6:coauthVersionLast="47" xr6:coauthVersionMax="47" xr10:uidLastSave="{00000000-0000-0000-0000-000000000000}"/>
  <bookViews>
    <workbookView xWindow="-108" yWindow="-108" windowWidth="23256" windowHeight="12456" activeTab="4" xr2:uid="{8389B8B5-4F25-4375-86D4-B9314508A53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Sheet2!$E$97:$L$101</definedName>
    <definedName name="_xlnm.Criteria" localSheetId="1">Sheet2!$E$104:$E$105</definedName>
    <definedName name="HINDI">Sheet2!$G$57:$G$64</definedName>
    <definedName name="NAME">Sheet2!$B$57:$G$64</definedName>
    <definedName name="SHALINI">Sheet2!$C$60:$G$60</definedName>
    <definedName name="SONALI">Sheet2!$B$57:$G$64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5" l="1"/>
  <c r="F84" i="5" s="1"/>
  <c r="G84" i="5" s="1"/>
  <c r="H84" i="5" s="1"/>
  <c r="I84" i="5" s="1"/>
  <c r="D84" i="5"/>
  <c r="L79" i="5"/>
  <c r="D54" i="5"/>
  <c r="D58" i="5" s="1"/>
  <c r="J43" i="5"/>
  <c r="J40" i="5"/>
  <c r="J36" i="5"/>
  <c r="J34" i="5"/>
  <c r="J32" i="5"/>
  <c r="C2" i="5"/>
  <c r="C5" i="5" s="1"/>
  <c r="D2" i="5"/>
  <c r="E2" i="5"/>
  <c r="F2" i="5"/>
  <c r="G2" i="5"/>
  <c r="H2" i="5"/>
  <c r="C3" i="5"/>
  <c r="D3" i="5"/>
  <c r="E3" i="5"/>
  <c r="F3" i="5"/>
  <c r="G3" i="5"/>
  <c r="H3" i="5"/>
  <c r="C4" i="5"/>
  <c r="D4" i="5"/>
  <c r="E4" i="5"/>
  <c r="F4" i="5"/>
  <c r="G4" i="5"/>
  <c r="H4" i="5"/>
  <c r="C6" i="5"/>
  <c r="D6" i="5"/>
  <c r="E6" i="5"/>
  <c r="F6" i="5"/>
  <c r="G6" i="5"/>
  <c r="H6" i="5"/>
  <c r="C7" i="5"/>
  <c r="D7" i="5"/>
  <c r="E7" i="5"/>
  <c r="E9" i="5" s="1"/>
  <c r="F7" i="5"/>
  <c r="G7" i="5"/>
  <c r="H7" i="5"/>
  <c r="C8" i="5"/>
  <c r="D8" i="5"/>
  <c r="E8" i="5"/>
  <c r="F8" i="5"/>
  <c r="G8" i="5"/>
  <c r="H8" i="5"/>
  <c r="C10" i="5"/>
  <c r="D10" i="5"/>
  <c r="E10" i="5"/>
  <c r="F10" i="5"/>
  <c r="G10" i="5"/>
  <c r="G13" i="5" s="1"/>
  <c r="H10" i="5"/>
  <c r="C11" i="5"/>
  <c r="D11" i="5"/>
  <c r="E11" i="5"/>
  <c r="F11" i="5"/>
  <c r="G11" i="5"/>
  <c r="H11" i="5"/>
  <c r="C12" i="5"/>
  <c r="D12" i="5"/>
  <c r="E12" i="5"/>
  <c r="F12" i="5"/>
  <c r="G12" i="5"/>
  <c r="H12" i="5"/>
  <c r="C14" i="5"/>
  <c r="D14" i="5"/>
  <c r="E14" i="5"/>
  <c r="F14" i="5"/>
  <c r="G14" i="5"/>
  <c r="H14" i="5"/>
  <c r="C15" i="5"/>
  <c r="D15" i="5"/>
  <c r="D17" i="5" s="1"/>
  <c r="E15" i="5"/>
  <c r="E17" i="5" s="1"/>
  <c r="F15" i="5"/>
  <c r="F17" i="5" s="1"/>
  <c r="G15" i="5"/>
  <c r="H15" i="5"/>
  <c r="C16" i="5"/>
  <c r="D16" i="5"/>
  <c r="E16" i="5"/>
  <c r="F16" i="5"/>
  <c r="G16" i="5"/>
  <c r="H16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H76" i="2" a="1"/>
  <c r="H76" i="2" s="1"/>
  <c r="H88" i="2"/>
  <c r="J64" i="2"/>
  <c r="F69" i="2"/>
  <c r="K56" i="2"/>
  <c r="E42" i="2"/>
  <c r="E41" i="2"/>
  <c r="E28" i="2"/>
  <c r="B10" i="2"/>
  <c r="B9" i="2"/>
  <c r="B8" i="2"/>
  <c r="B7" i="2"/>
  <c r="C15" i="1"/>
  <c r="C14" i="1"/>
  <c r="C13" i="1"/>
  <c r="C12" i="1"/>
  <c r="C11" i="1"/>
  <c r="I61" i="2"/>
  <c r="H68" i="2"/>
  <c r="N64" i="2" a="1"/>
  <c r="N64" i="2" s="1"/>
  <c r="H69" i="2"/>
  <c r="F67" i="2"/>
  <c r="C21" i="5" l="1"/>
  <c r="F21" i="5"/>
  <c r="G21" i="5"/>
  <c r="D21" i="5"/>
  <c r="H9" i="5"/>
  <c r="F5" i="5"/>
  <c r="F13" i="5"/>
  <c r="E13" i="5"/>
  <c r="F9" i="5"/>
  <c r="D13" i="5"/>
  <c r="E5" i="5"/>
  <c r="G17" i="5"/>
  <c r="H13" i="5"/>
  <c r="H17" i="5"/>
  <c r="D9" i="5"/>
  <c r="C9" i="5"/>
  <c r="H5" i="5"/>
  <c r="G9" i="5"/>
  <c r="C13" i="5"/>
  <c r="H21" i="5"/>
  <c r="J44" i="5"/>
  <c r="D5" i="5"/>
  <c r="C17" i="5"/>
  <c r="E21" i="5"/>
  <c r="G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<sst xmlns="http://schemas.openxmlformats.org/spreadsheetml/2006/main" count="271" uniqueCount="145">
  <si>
    <t>A</t>
  </si>
  <si>
    <t>B</t>
  </si>
  <si>
    <t>C</t>
  </si>
  <si>
    <t>D</t>
  </si>
  <si>
    <t>E</t>
  </si>
  <si>
    <t>GRADE</t>
  </si>
  <si>
    <t>BASIC</t>
  </si>
  <si>
    <t>HRA</t>
  </si>
  <si>
    <t>PF</t>
  </si>
  <si>
    <t>NET</t>
  </si>
  <si>
    <t>SUMIF</t>
  </si>
  <si>
    <t>NAME</t>
  </si>
  <si>
    <t>DEPT</t>
  </si>
  <si>
    <t>AJAY</t>
  </si>
  <si>
    <t>SUNIL</t>
  </si>
  <si>
    <t>VIJAY</t>
  </si>
  <si>
    <t>ANIL</t>
  </si>
  <si>
    <t>S</t>
  </si>
  <si>
    <t>A/C</t>
  </si>
  <si>
    <t>H.R.</t>
  </si>
  <si>
    <t>ADMN</t>
  </si>
  <si>
    <t>SALES</t>
  </si>
  <si>
    <t>COUNT()</t>
  </si>
  <si>
    <t>COUNTA()</t>
  </si>
  <si>
    <t>SR.NO</t>
  </si>
  <si>
    <t>SMALL</t>
  </si>
  <si>
    <t>DATA-1</t>
  </si>
  <si>
    <t>DATA-2</t>
  </si>
  <si>
    <t>DEFINE NAME</t>
  </si>
  <si>
    <t>CLASS</t>
  </si>
  <si>
    <t>ENG</t>
  </si>
  <si>
    <t>MATHS</t>
  </si>
  <si>
    <t>CHE</t>
  </si>
  <si>
    <t>HINDI</t>
  </si>
  <si>
    <t>SONALI</t>
  </si>
  <si>
    <t>MADHU</t>
  </si>
  <si>
    <t>SHALINI</t>
  </si>
  <si>
    <t>SANDHYA</t>
  </si>
  <si>
    <t>SUPREIYA</t>
  </si>
  <si>
    <t>NITA</t>
  </si>
  <si>
    <t>PIYU</t>
  </si>
  <si>
    <t>FORMULA AUDITING</t>
  </si>
  <si>
    <t>S.N</t>
  </si>
  <si>
    <t>NAME OF ITEM</t>
  </si>
  <si>
    <t>QTY</t>
  </si>
  <si>
    <t>RATE</t>
  </si>
  <si>
    <t>AMOUNT</t>
  </si>
  <si>
    <t>TEA</t>
  </si>
  <si>
    <t>SUGAR</t>
  </si>
  <si>
    <t>RICE</t>
  </si>
  <si>
    <t>MILK</t>
  </si>
  <si>
    <t>SALT</t>
  </si>
  <si>
    <t>TOTAL AMOUNT</t>
  </si>
  <si>
    <t>ADVANCE FILTER</t>
  </si>
  <si>
    <t>ROLL NO</t>
  </si>
  <si>
    <t>RUPALI</t>
  </si>
  <si>
    <t>SHEETAL</t>
  </si>
  <si>
    <t>OC</t>
  </si>
  <si>
    <t>MARATHI</t>
  </si>
  <si>
    <t>EVS</t>
  </si>
  <si>
    <t>TOTAL</t>
  </si>
  <si>
    <t>M</t>
  </si>
  <si>
    <t>FLASH FILL</t>
  </si>
  <si>
    <t>SONALI PATNE</t>
  </si>
  <si>
    <t>RUTIK PATNE</t>
  </si>
  <si>
    <t>KIRAN GAIKWAD</t>
  </si>
  <si>
    <t>SAGAR PATNE</t>
  </si>
  <si>
    <t>RUTIK</t>
  </si>
  <si>
    <t>KIRAN</t>
  </si>
  <si>
    <t>SAGAR</t>
  </si>
  <si>
    <t>O</t>
  </si>
  <si>
    <t>N</t>
  </si>
  <si>
    <t>L</t>
  </si>
  <si>
    <t>I</t>
  </si>
  <si>
    <t>R</t>
  </si>
  <si>
    <t>U</t>
  </si>
  <si>
    <t>T</t>
  </si>
  <si>
    <t>K</t>
  </si>
  <si>
    <t>DATA VALIDATION</t>
  </si>
  <si>
    <t>EMPLOYEES</t>
  </si>
  <si>
    <t>AVINASH</t>
  </si>
  <si>
    <t>RAKESH</t>
  </si>
  <si>
    <t>RAHUL</t>
  </si>
  <si>
    <t>I"D NO.</t>
  </si>
  <si>
    <t>AGE</t>
  </si>
  <si>
    <t>DOB</t>
  </si>
  <si>
    <t>SALARY</t>
  </si>
  <si>
    <t>MS</t>
  </si>
  <si>
    <t>OPEN</t>
  </si>
  <si>
    <t>CLOSE</t>
  </si>
  <si>
    <t>CONSOLIDATE</t>
  </si>
  <si>
    <t>SALESMAN NAME</t>
  </si>
  <si>
    <t>SANKET</t>
  </si>
  <si>
    <t>RUPESH</t>
  </si>
  <si>
    <t>JAN</t>
  </si>
  <si>
    <t>FEB</t>
  </si>
  <si>
    <t>MAR</t>
  </si>
  <si>
    <t>APR</t>
  </si>
  <si>
    <t>MAY</t>
  </si>
  <si>
    <t>JUN</t>
  </si>
  <si>
    <t>CONSOLIDATE 2</t>
  </si>
  <si>
    <t>CONSOLIDATE 3</t>
  </si>
  <si>
    <t>Book1</t>
  </si>
  <si>
    <t>SUBTOTAL</t>
  </si>
  <si>
    <t>PID</t>
  </si>
  <si>
    <t>RANG NO</t>
  </si>
  <si>
    <t>NAME OF PERSON</t>
  </si>
  <si>
    <t>MANISHA</t>
  </si>
  <si>
    <t>NISHA</t>
  </si>
  <si>
    <t>MITHUN</t>
  </si>
  <si>
    <t>SUPRIYA</t>
  </si>
  <si>
    <t>DEPARTMENT</t>
  </si>
  <si>
    <t>GARMENT</t>
  </si>
  <si>
    <t>FURNITURE</t>
  </si>
  <si>
    <t>ELECTRONICS</t>
  </si>
  <si>
    <t>AUG</t>
  </si>
  <si>
    <t>DEC</t>
  </si>
  <si>
    <t>SALES-2017</t>
  </si>
  <si>
    <t>SALES-2016</t>
  </si>
  <si>
    <t>SALES 2016/20117</t>
  </si>
  <si>
    <t>AUG Total</t>
  </si>
  <si>
    <t>DEC Total</t>
  </si>
  <si>
    <t>FEB Total</t>
  </si>
  <si>
    <t>JAN Total</t>
  </si>
  <si>
    <t>MAR Total</t>
  </si>
  <si>
    <t>Grand Total</t>
  </si>
  <si>
    <t>WHAT IF ANALYSIS</t>
  </si>
  <si>
    <t>STEP 1</t>
  </si>
  <si>
    <t>PRODUCT NAME</t>
  </si>
  <si>
    <t>STEP 2</t>
  </si>
  <si>
    <t>PRICE</t>
  </si>
  <si>
    <t>VLOOKUP</t>
  </si>
  <si>
    <t>P-ID.NO</t>
  </si>
  <si>
    <t>SALES-2015</t>
  </si>
  <si>
    <t>SALE-2016</t>
  </si>
  <si>
    <t>SALE-2017</t>
  </si>
  <si>
    <t>RAM</t>
  </si>
  <si>
    <t>SHAM</t>
  </si>
  <si>
    <t>OM</t>
  </si>
  <si>
    <t>RAMAN</t>
  </si>
  <si>
    <t>DEEPAK</t>
  </si>
  <si>
    <t>RAJ</t>
  </si>
  <si>
    <t>RIHAN</t>
  </si>
  <si>
    <t>OMKAR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</si>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</sst>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5" fontId="0" fillId="0" borderId="1" xfId="0" applyNumberFormat="1" applyBorder="1"/>
    <xf numFmtId="18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textRotation="255"/>
    </xf>
    <xf numFmtId="0" fontId="2" fillId="0" borderId="1" xfId="0" applyFont="1" applyBorder="1" applyAlignme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9A61-B190-4B0E-B160-A7E253EE9D8C}">
  <dimension ref="B3:J15"/>
  <sheetViews>
    <sheetView workbookViewId="0">
      <selection activeCell="L5" sqref="L5"/>
    </sheetView>
  </sheetViews>
  <sheetFormatPr defaultRowHeight="14.4" x14ac:dyDescent="0.3"/>
  <sheetData>
    <row r="3" spans="2:10" ht="21" x14ac:dyDescent="0.4">
      <c r="B3" s="2"/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</row>
    <row r="4" spans="2:10" ht="21" x14ac:dyDescent="0.4">
      <c r="B4" s="2">
        <v>1</v>
      </c>
      <c r="C4" s="2" t="s">
        <v>5</v>
      </c>
      <c r="D4" s="2" t="s">
        <v>6</v>
      </c>
      <c r="E4" s="2" t="s">
        <v>7</v>
      </c>
      <c r="F4" s="2" t="s">
        <v>8</v>
      </c>
      <c r="G4" s="15" t="s">
        <v>9</v>
      </c>
      <c r="J4" s="4" t="s">
        <v>10</v>
      </c>
    </row>
    <row r="5" spans="2:10" ht="21" x14ac:dyDescent="0.4">
      <c r="B5" s="2">
        <v>2</v>
      </c>
      <c r="C5" s="2" t="s">
        <v>0</v>
      </c>
      <c r="D5" s="2">
        <v>1000</v>
      </c>
      <c r="E5" s="2">
        <v>150</v>
      </c>
      <c r="F5" s="2">
        <v>80</v>
      </c>
      <c r="G5" s="15">
        <v>1070</v>
      </c>
      <c r="J5" s="14"/>
    </row>
    <row r="6" spans="2:10" ht="21" x14ac:dyDescent="0.4">
      <c r="B6" s="2">
        <v>3</v>
      </c>
      <c r="C6" s="2" t="s">
        <v>1</v>
      </c>
      <c r="D6" s="2">
        <v>4000</v>
      </c>
      <c r="E6" s="2">
        <v>600</v>
      </c>
      <c r="F6" s="2">
        <v>320</v>
      </c>
      <c r="G6" s="15">
        <v>4280</v>
      </c>
    </row>
    <row r="7" spans="2:10" ht="21" x14ac:dyDescent="0.4">
      <c r="B7" s="2">
        <v>4</v>
      </c>
      <c r="C7" s="2" t="s">
        <v>1</v>
      </c>
      <c r="D7" s="2">
        <v>5000</v>
      </c>
      <c r="E7" s="2">
        <v>750</v>
      </c>
      <c r="F7" s="2">
        <v>400</v>
      </c>
      <c r="G7" s="15">
        <v>5350</v>
      </c>
    </row>
    <row r="8" spans="2:10" ht="21" x14ac:dyDescent="0.4">
      <c r="B8" s="2">
        <v>5</v>
      </c>
      <c r="C8" s="2" t="s">
        <v>0</v>
      </c>
      <c r="D8" s="2">
        <v>3000</v>
      </c>
      <c r="E8" s="2">
        <v>450</v>
      </c>
      <c r="F8" s="2">
        <v>240</v>
      </c>
      <c r="G8" s="15">
        <v>3210</v>
      </c>
    </row>
    <row r="11" spans="2:10" x14ac:dyDescent="0.3">
      <c r="C11">
        <f>SUMIF(D5:D8,"&gt;=3500",G5:G8)</f>
        <v>9630</v>
      </c>
    </row>
    <row r="12" spans="2:10" x14ac:dyDescent="0.3">
      <c r="C12">
        <f>SUMIF(D5:D8,"&gt;3500")</f>
        <v>9000</v>
      </c>
    </row>
    <row r="13" spans="2:10" x14ac:dyDescent="0.3">
      <c r="C13">
        <f>SUMIF(C5:C8,"A",E5:E8)</f>
        <v>600</v>
      </c>
    </row>
    <row r="14" spans="2:10" x14ac:dyDescent="0.3">
      <c r="C14">
        <f>SUMIF(F5:F8,"&lt;=320")</f>
        <v>640</v>
      </c>
    </row>
    <row r="15" spans="2:10" x14ac:dyDescent="0.3">
      <c r="C15">
        <f>SUMIF(F5:F8,"&lt;=320",G5:G8)</f>
        <v>8560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83EE-F588-4098-8DBA-73B5D143C741}">
  <dimension ref="A1:S141"/>
  <sheetViews>
    <sheetView topLeftCell="A158" zoomScale="120" zoomScaleNormal="120" workbookViewId="0">
      <selection activeCell="D129" sqref="D129"/>
    </sheetView>
  </sheetViews>
  <sheetFormatPr defaultRowHeight="14.4" x14ac:dyDescent="0.3"/>
  <cols>
    <col min="2" max="2" width="15.21875" bestFit="1" customWidth="1"/>
    <col min="3" max="7" width="7" bestFit="1" customWidth="1"/>
    <col min="8" max="8" width="6" bestFit="1" customWidth="1"/>
    <col min="9" max="9" width="5.77734375" bestFit="1" customWidth="1"/>
    <col min="10" max="10" width="8.44140625" bestFit="1" customWidth="1"/>
    <col min="11" max="11" width="4.109375" bestFit="1" customWidth="1"/>
    <col min="12" max="12" width="6.109375" bestFit="1" customWidth="1"/>
  </cols>
  <sheetData>
    <row r="1" spans="1:5" x14ac:dyDescent="0.3">
      <c r="A1" s="1" t="s">
        <v>11</v>
      </c>
      <c r="B1" s="1" t="s">
        <v>5</v>
      </c>
      <c r="C1" s="1" t="s">
        <v>12</v>
      </c>
      <c r="D1" s="1" t="s">
        <v>6</v>
      </c>
      <c r="E1" s="1" t="s">
        <v>9</v>
      </c>
    </row>
    <row r="2" spans="1:5" x14ac:dyDescent="0.3">
      <c r="A2" s="1" t="s">
        <v>13</v>
      </c>
      <c r="B2" s="1" t="s">
        <v>0</v>
      </c>
      <c r="C2" s="1" t="s">
        <v>18</v>
      </c>
      <c r="D2" s="1">
        <v>1000</v>
      </c>
      <c r="E2" s="1">
        <v>1070</v>
      </c>
    </row>
    <row r="3" spans="1:5" x14ac:dyDescent="0.3">
      <c r="A3" s="1" t="s">
        <v>14</v>
      </c>
      <c r="B3" s="1" t="s">
        <v>1</v>
      </c>
      <c r="C3" s="1" t="s">
        <v>19</v>
      </c>
      <c r="D3" s="1">
        <v>4000</v>
      </c>
      <c r="E3" s="1">
        <v>4280</v>
      </c>
    </row>
    <row r="4" spans="1:5" x14ac:dyDescent="0.3">
      <c r="A4" s="1" t="s">
        <v>15</v>
      </c>
      <c r="B4" s="1" t="s">
        <v>1</v>
      </c>
      <c r="C4" s="1" t="s">
        <v>20</v>
      </c>
      <c r="D4" s="1">
        <v>5000</v>
      </c>
      <c r="E4" s="1">
        <v>5350</v>
      </c>
    </row>
    <row r="5" spans="1:5" x14ac:dyDescent="0.3">
      <c r="A5" s="1" t="s">
        <v>16</v>
      </c>
      <c r="B5" s="1" t="s">
        <v>0</v>
      </c>
      <c r="C5" s="1" t="s">
        <v>21</v>
      </c>
      <c r="D5" s="1">
        <v>3000</v>
      </c>
      <c r="E5" s="1">
        <v>3210</v>
      </c>
    </row>
    <row r="7" spans="1:5" x14ac:dyDescent="0.3">
      <c r="B7">
        <f>AVERAGEIF(D2:D5,"&gt;=3500",E2:E5)</f>
        <v>4815</v>
      </c>
    </row>
    <row r="8" spans="1:5" x14ac:dyDescent="0.3">
      <c r="B8">
        <f>AVERAGEIF(D2:D5,"&gt;=3500")</f>
        <v>4500</v>
      </c>
    </row>
    <row r="9" spans="1:5" x14ac:dyDescent="0.3">
      <c r="B9" t="e">
        <f>AVERAGEIF(D2:D5,"A",B2:B5)</f>
        <v>#DIV/0!</v>
      </c>
    </row>
    <row r="10" spans="1:5" x14ac:dyDescent="0.3">
      <c r="B10">
        <f>AVERAGEIF(B2:B5,"A",D2:D5)</f>
        <v>2000</v>
      </c>
    </row>
    <row r="15" spans="1:5" x14ac:dyDescent="0.3">
      <c r="C15" t="s">
        <v>22</v>
      </c>
    </row>
    <row r="18" spans="2:5" x14ac:dyDescent="0.3">
      <c r="B18" s="1"/>
      <c r="C18" s="1" t="s">
        <v>0</v>
      </c>
    </row>
    <row r="19" spans="2:5" x14ac:dyDescent="0.3">
      <c r="B19" s="1">
        <v>1</v>
      </c>
      <c r="C19" s="1" t="s">
        <v>21</v>
      </c>
    </row>
    <row r="20" spans="2:5" x14ac:dyDescent="0.3">
      <c r="B20" s="1">
        <v>2</v>
      </c>
      <c r="C20" s="1">
        <v>1000</v>
      </c>
    </row>
    <row r="21" spans="2:5" x14ac:dyDescent="0.3">
      <c r="B21" s="1">
        <v>3</v>
      </c>
      <c r="C21" s="1">
        <v>5000</v>
      </c>
    </row>
    <row r="22" spans="2:5" x14ac:dyDescent="0.3">
      <c r="B22" s="1">
        <v>4</v>
      </c>
      <c r="C22" s="1">
        <v>9000</v>
      </c>
    </row>
    <row r="23" spans="2:5" x14ac:dyDescent="0.3">
      <c r="B23" s="1">
        <v>5</v>
      </c>
      <c r="C23" s="5">
        <v>40003</v>
      </c>
    </row>
    <row r="26" spans="2:5" x14ac:dyDescent="0.3">
      <c r="C26" t="s">
        <v>23</v>
      </c>
    </row>
    <row r="28" spans="2:5" x14ac:dyDescent="0.3">
      <c r="C28" s="1" t="s">
        <v>24</v>
      </c>
      <c r="D28" s="1" t="s">
        <v>0</v>
      </c>
      <c r="E28">
        <f>COUNTA(C28:D32)</f>
        <v>10</v>
      </c>
    </row>
    <row r="29" spans="2:5" x14ac:dyDescent="0.3">
      <c r="C29" s="1">
        <v>1</v>
      </c>
      <c r="D29" s="1" t="s">
        <v>21</v>
      </c>
    </row>
    <row r="30" spans="2:5" x14ac:dyDescent="0.3">
      <c r="C30" s="1">
        <v>2</v>
      </c>
      <c r="D30" s="1">
        <v>1000</v>
      </c>
    </row>
    <row r="31" spans="2:5" x14ac:dyDescent="0.3">
      <c r="C31" s="1">
        <v>3</v>
      </c>
      <c r="D31" s="1" t="e">
        <v>#DIV/0!</v>
      </c>
    </row>
    <row r="32" spans="2:5" x14ac:dyDescent="0.3">
      <c r="C32" s="1">
        <v>4</v>
      </c>
      <c r="D32" s="1" t="b">
        <v>1</v>
      </c>
    </row>
    <row r="33" spans="2:5" x14ac:dyDescent="0.3">
      <c r="C33" s="1">
        <v>5</v>
      </c>
      <c r="D33" s="5">
        <v>40003</v>
      </c>
    </row>
    <row r="34" spans="2:5" x14ac:dyDescent="0.3">
      <c r="C34" s="1">
        <v>6</v>
      </c>
      <c r="D34" s="1"/>
    </row>
    <row r="35" spans="2:5" x14ac:dyDescent="0.3">
      <c r="C35" s="1">
        <v>7</v>
      </c>
      <c r="D35" s="6">
        <v>0.22916666666666666</v>
      </c>
    </row>
    <row r="39" spans="2:5" x14ac:dyDescent="0.3">
      <c r="C39" t="s">
        <v>25</v>
      </c>
    </row>
    <row r="41" spans="2:5" x14ac:dyDescent="0.3">
      <c r="B41" s="7"/>
      <c r="C41" s="7" t="s">
        <v>0</v>
      </c>
      <c r="D41" s="7" t="s">
        <v>1</v>
      </c>
      <c r="E41">
        <f>SMALL(C43:C47,1)</f>
        <v>15</v>
      </c>
    </row>
    <row r="42" spans="2:5" x14ac:dyDescent="0.3">
      <c r="B42" s="7">
        <v>1</v>
      </c>
      <c r="C42" s="7" t="s">
        <v>26</v>
      </c>
      <c r="D42" s="7" t="s">
        <v>27</v>
      </c>
      <c r="E42">
        <f>SMALL(C43:C47,3)</f>
        <v>18</v>
      </c>
    </row>
    <row r="43" spans="2:5" x14ac:dyDescent="0.3">
      <c r="B43" s="7">
        <v>2</v>
      </c>
      <c r="C43" s="7">
        <v>18</v>
      </c>
      <c r="D43" s="7">
        <v>14</v>
      </c>
    </row>
    <row r="44" spans="2:5" x14ac:dyDescent="0.3">
      <c r="B44" s="7">
        <v>3</v>
      </c>
      <c r="C44" s="7">
        <v>21</v>
      </c>
      <c r="D44" s="7">
        <v>16</v>
      </c>
    </row>
    <row r="45" spans="2:5" x14ac:dyDescent="0.3">
      <c r="B45" s="7">
        <v>4</v>
      </c>
      <c r="C45" s="7">
        <v>17</v>
      </c>
      <c r="D45" s="7">
        <v>12</v>
      </c>
    </row>
    <row r="46" spans="2:5" x14ac:dyDescent="0.3">
      <c r="B46" s="7">
        <v>5</v>
      </c>
      <c r="C46" s="7">
        <v>15</v>
      </c>
      <c r="D46" s="7">
        <v>14</v>
      </c>
    </row>
    <row r="47" spans="2:5" x14ac:dyDescent="0.3">
      <c r="B47" s="7">
        <v>6</v>
      </c>
      <c r="C47" s="7">
        <v>20</v>
      </c>
      <c r="D47" s="7">
        <v>16</v>
      </c>
    </row>
    <row r="53" spans="2:19" x14ac:dyDescent="0.3">
      <c r="D53" t="s">
        <v>28</v>
      </c>
      <c r="E53" t="s">
        <v>28</v>
      </c>
    </row>
    <row r="56" spans="2:19" x14ac:dyDescent="0.3">
      <c r="K56">
        <f>SUM(SHALINI)</f>
        <v>344</v>
      </c>
    </row>
    <row r="57" spans="2:19" x14ac:dyDescent="0.3">
      <c r="B57" s="1" t="s">
        <v>11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33</v>
      </c>
    </row>
    <row r="58" spans="2:19" x14ac:dyDescent="0.3">
      <c r="B58" s="1" t="s">
        <v>34</v>
      </c>
      <c r="C58" s="1">
        <v>12</v>
      </c>
      <c r="D58" s="1">
        <v>69</v>
      </c>
      <c r="E58" s="1">
        <v>73</v>
      </c>
      <c r="F58" s="1">
        <v>97</v>
      </c>
      <c r="G58" s="1">
        <v>97</v>
      </c>
    </row>
    <row r="59" spans="2:19" x14ac:dyDescent="0.3">
      <c r="B59" s="1" t="s">
        <v>35</v>
      </c>
      <c r="C59" s="1">
        <v>12</v>
      </c>
      <c r="D59" s="1">
        <v>84</v>
      </c>
      <c r="E59" s="1">
        <v>87</v>
      </c>
      <c r="F59" s="1">
        <v>83</v>
      </c>
      <c r="G59" s="1">
        <v>86</v>
      </c>
    </row>
    <row r="60" spans="2:19" x14ac:dyDescent="0.3">
      <c r="B60" s="1" t="s">
        <v>36</v>
      </c>
      <c r="C60" s="1">
        <v>12</v>
      </c>
      <c r="D60" s="1">
        <v>95</v>
      </c>
      <c r="E60" s="1">
        <v>69</v>
      </c>
      <c r="F60" s="1">
        <v>74</v>
      </c>
      <c r="G60" s="1">
        <v>94</v>
      </c>
    </row>
    <row r="61" spans="2:19" x14ac:dyDescent="0.3">
      <c r="B61" s="1" t="s">
        <v>37</v>
      </c>
      <c r="C61" s="1">
        <v>12</v>
      </c>
      <c r="D61" s="1">
        <v>99</v>
      </c>
      <c r="E61" s="1">
        <v>93</v>
      </c>
      <c r="F61" s="1">
        <v>79</v>
      </c>
      <c r="G61" s="1">
        <v>78</v>
      </c>
      <c r="I61">
        <f>MAX(SONALI)</f>
        <v>99</v>
      </c>
    </row>
    <row r="62" spans="2:19" x14ac:dyDescent="0.3">
      <c r="B62" s="1" t="s">
        <v>38</v>
      </c>
      <c r="C62" s="1">
        <v>12</v>
      </c>
      <c r="D62" s="1">
        <v>75</v>
      </c>
      <c r="E62" s="1">
        <v>95</v>
      </c>
      <c r="F62" s="1">
        <v>94</v>
      </c>
      <c r="G62" s="1">
        <v>85</v>
      </c>
    </row>
    <row r="63" spans="2:19" x14ac:dyDescent="0.3">
      <c r="B63" s="1" t="s">
        <v>39</v>
      </c>
      <c r="C63" s="1">
        <v>12</v>
      </c>
      <c r="D63" s="1">
        <v>87</v>
      </c>
      <c r="E63" s="1">
        <v>92</v>
      </c>
      <c r="F63" s="1">
        <v>99</v>
      </c>
      <c r="G63" s="1">
        <v>99</v>
      </c>
    </row>
    <row r="64" spans="2:19" x14ac:dyDescent="0.3">
      <c r="B64" s="1" t="s">
        <v>40</v>
      </c>
      <c r="C64" s="1">
        <v>12</v>
      </c>
      <c r="D64" s="1">
        <v>88</v>
      </c>
      <c r="E64" s="1">
        <v>89</v>
      </c>
      <c r="F64" s="1">
        <v>98</v>
      </c>
      <c r="G64" s="1">
        <v>84</v>
      </c>
      <c r="J64">
        <f>MIN(SHALINI)</f>
        <v>12</v>
      </c>
      <c r="N64" t="str" cm="1">
        <f t="array" ref="N64:S71">NAME</f>
        <v>NAME</v>
      </c>
      <c r="O64" t="str">
        <v>CLASS</v>
      </c>
      <c r="P64" t="str">
        <v>ENG</v>
      </c>
      <c r="Q64" t="str">
        <v>MATHS</v>
      </c>
      <c r="R64" t="str">
        <v>CHE</v>
      </c>
      <c r="S64" t="str">
        <v>HINDI</v>
      </c>
    </row>
    <row r="65" spans="4:19" x14ac:dyDescent="0.3">
      <c r="N65" t="str">
        <v>SONALI</v>
      </c>
      <c r="O65">
        <v>12</v>
      </c>
      <c r="P65">
        <v>69</v>
      </c>
      <c r="Q65">
        <v>73</v>
      </c>
      <c r="R65">
        <v>97</v>
      </c>
      <c r="S65">
        <v>97</v>
      </c>
    </row>
    <row r="66" spans="4:19" x14ac:dyDescent="0.3">
      <c r="N66" t="str">
        <v>MADHU</v>
      </c>
      <c r="O66">
        <v>12</v>
      </c>
      <c r="P66">
        <v>84</v>
      </c>
      <c r="Q66">
        <v>87</v>
      </c>
      <c r="R66">
        <v>83</v>
      </c>
      <c r="S66">
        <v>86</v>
      </c>
    </row>
    <row r="67" spans="4:19" x14ac:dyDescent="0.3">
      <c r="F67">
        <f>MAX(HINDI)</f>
        <v>99</v>
      </c>
      <c r="N67" t="str">
        <v>SHALINI</v>
      </c>
      <c r="O67">
        <v>12</v>
      </c>
      <c r="P67">
        <v>95</v>
      </c>
      <c r="Q67">
        <v>69</v>
      </c>
      <c r="R67">
        <v>74</v>
      </c>
      <c r="S67">
        <v>94</v>
      </c>
    </row>
    <row r="68" spans="4:19" x14ac:dyDescent="0.3">
      <c r="H68">
        <f>MIN(SONALI)</f>
        <v>12</v>
      </c>
      <c r="N68" t="str">
        <v>SANDHYA</v>
      </c>
      <c r="O68">
        <v>12</v>
      </c>
      <c r="P68">
        <v>99</v>
      </c>
      <c r="Q68">
        <v>93</v>
      </c>
      <c r="R68">
        <v>79</v>
      </c>
      <c r="S68">
        <v>78</v>
      </c>
    </row>
    <row r="69" spans="4:19" x14ac:dyDescent="0.3">
      <c r="F69">
        <f>MAX(HINDI)</f>
        <v>99</v>
      </c>
      <c r="H69">
        <f>SUM(SONALI)</f>
        <v>2526</v>
      </c>
      <c r="N69" t="str">
        <v>SUPREIYA</v>
      </c>
      <c r="O69">
        <v>12</v>
      </c>
      <c r="P69">
        <v>75</v>
      </c>
      <c r="Q69">
        <v>95</v>
      </c>
      <c r="R69">
        <v>94</v>
      </c>
      <c r="S69">
        <v>85</v>
      </c>
    </row>
    <row r="70" spans="4:19" x14ac:dyDescent="0.3">
      <c r="N70" t="str">
        <v>NITA</v>
      </c>
      <c r="O70">
        <v>12</v>
      </c>
      <c r="P70">
        <v>87</v>
      </c>
      <c r="Q70">
        <v>92</v>
      </c>
      <c r="R70">
        <v>99</v>
      </c>
      <c r="S70">
        <v>99</v>
      </c>
    </row>
    <row r="71" spans="4:19" x14ac:dyDescent="0.3">
      <c r="N71" t="str">
        <v>PIYU</v>
      </c>
      <c r="O71">
        <v>12</v>
      </c>
      <c r="P71">
        <v>88</v>
      </c>
      <c r="Q71">
        <v>89</v>
      </c>
      <c r="R71">
        <v>98</v>
      </c>
      <c r="S71">
        <v>84</v>
      </c>
    </row>
    <row r="74" spans="4:19" x14ac:dyDescent="0.3">
      <c r="E74" t="s">
        <v>41</v>
      </c>
    </row>
    <row r="75" spans="4:19" ht="18" x14ac:dyDescent="0.35">
      <c r="D75" s="8"/>
      <c r="E75" s="8"/>
      <c r="F75" s="8"/>
      <c r="G75" s="8"/>
      <c r="H75" s="8" t="s">
        <v>46</v>
      </c>
    </row>
    <row r="76" spans="4:19" ht="18" x14ac:dyDescent="0.35">
      <c r="D76" s="8" t="s">
        <v>42</v>
      </c>
      <c r="E76" s="8" t="s">
        <v>43</v>
      </c>
      <c r="F76" s="8" t="s">
        <v>44</v>
      </c>
      <c r="G76" s="8" t="s">
        <v>45</v>
      </c>
      <c r="H76" s="8" t="e" cm="1">
        <f t="array" ref="H76">(QTY*RATE)</f>
        <v>#NAME?</v>
      </c>
    </row>
    <row r="77" spans="4:19" ht="18" x14ac:dyDescent="0.35">
      <c r="D77" s="8">
        <v>1</v>
      </c>
      <c r="E77" s="8" t="s">
        <v>47</v>
      </c>
      <c r="F77" s="8">
        <v>60</v>
      </c>
      <c r="G77" s="8">
        <v>380</v>
      </c>
      <c r="H77" s="8">
        <v>22800</v>
      </c>
    </row>
    <row r="78" spans="4:19" ht="18" x14ac:dyDescent="0.35">
      <c r="D78" s="8">
        <v>2</v>
      </c>
      <c r="E78" s="8" t="s">
        <v>48</v>
      </c>
      <c r="F78" s="8">
        <v>80</v>
      </c>
      <c r="G78" s="8">
        <v>420</v>
      </c>
      <c r="H78" s="8">
        <v>33600</v>
      </c>
    </row>
    <row r="79" spans="4:19" ht="18" x14ac:dyDescent="0.35">
      <c r="D79" s="8">
        <v>3</v>
      </c>
      <c r="E79" s="8" t="s">
        <v>49</v>
      </c>
      <c r="F79" s="8">
        <v>70</v>
      </c>
      <c r="G79" s="8">
        <v>566</v>
      </c>
      <c r="H79" s="8">
        <v>39620</v>
      </c>
    </row>
    <row r="80" spans="4:19" ht="18" x14ac:dyDescent="0.35">
      <c r="D80" s="8">
        <v>4</v>
      </c>
      <c r="E80" s="8" t="s">
        <v>50</v>
      </c>
      <c r="F80" s="8">
        <v>90</v>
      </c>
      <c r="G80" s="8">
        <v>890</v>
      </c>
      <c r="H80" s="8">
        <v>80100</v>
      </c>
    </row>
    <row r="81" spans="4:10" ht="18" x14ac:dyDescent="0.35">
      <c r="D81" s="8">
        <v>5</v>
      </c>
      <c r="E81" s="8" t="s">
        <v>51</v>
      </c>
      <c r="F81" s="8">
        <v>50</v>
      </c>
      <c r="G81" s="8">
        <v>940</v>
      </c>
      <c r="H81" s="8">
        <v>47000</v>
      </c>
    </row>
    <row r="82" spans="4:10" ht="18" x14ac:dyDescent="0.35">
      <c r="D82" s="8"/>
      <c r="E82" s="8" t="s">
        <v>52</v>
      </c>
      <c r="F82" s="8"/>
      <c r="G82" s="8"/>
      <c r="H82" s="8">
        <v>223120</v>
      </c>
    </row>
    <row r="85" spans="4:10" x14ac:dyDescent="0.3">
      <c r="E85">
        <v>100</v>
      </c>
      <c r="J85">
        <v>100</v>
      </c>
    </row>
    <row r="88" spans="4:10" x14ac:dyDescent="0.3">
      <c r="H88">
        <f>E85+E91+J91+J85</f>
        <v>400</v>
      </c>
    </row>
    <row r="91" spans="4:10" x14ac:dyDescent="0.3">
      <c r="E91">
        <v>100</v>
      </c>
      <c r="J91">
        <v>100</v>
      </c>
    </row>
    <row r="95" spans="4:10" x14ac:dyDescent="0.3">
      <c r="E95" t="s">
        <v>53</v>
      </c>
    </row>
    <row r="97" spans="3:12" x14ac:dyDescent="0.3">
      <c r="E97" s="7" t="s">
        <v>54</v>
      </c>
      <c r="F97" s="7" t="s">
        <v>11</v>
      </c>
      <c r="G97" s="7" t="s">
        <v>30</v>
      </c>
      <c r="H97" s="7" t="s">
        <v>57</v>
      </c>
      <c r="I97" s="7" t="s">
        <v>33</v>
      </c>
      <c r="J97" s="7" t="s">
        <v>58</v>
      </c>
      <c r="K97" s="7" t="s">
        <v>59</v>
      </c>
      <c r="L97" s="7" t="s">
        <v>60</v>
      </c>
    </row>
    <row r="98" spans="3:12" x14ac:dyDescent="0.3">
      <c r="E98" s="7">
        <v>1</v>
      </c>
      <c r="F98" s="7" t="s">
        <v>34</v>
      </c>
      <c r="G98" s="7">
        <v>60</v>
      </c>
      <c r="H98" s="7">
        <v>80</v>
      </c>
      <c r="I98" s="7">
        <v>75</v>
      </c>
      <c r="J98" s="7">
        <v>90</v>
      </c>
      <c r="K98" s="7">
        <v>50</v>
      </c>
      <c r="L98" s="7">
        <v>388</v>
      </c>
    </row>
    <row r="99" spans="3:12" x14ac:dyDescent="0.3">
      <c r="E99" s="7">
        <v>2</v>
      </c>
      <c r="F99" s="7" t="s">
        <v>55</v>
      </c>
      <c r="G99" s="7">
        <v>90</v>
      </c>
      <c r="H99" s="7">
        <v>95</v>
      </c>
      <c r="I99" s="7">
        <v>65</v>
      </c>
      <c r="J99" s="7">
        <v>78</v>
      </c>
      <c r="K99" s="7">
        <v>45</v>
      </c>
      <c r="L99" s="7">
        <v>373</v>
      </c>
    </row>
    <row r="100" spans="3:12" x14ac:dyDescent="0.3">
      <c r="E100" s="7">
        <v>3</v>
      </c>
      <c r="F100" s="7" t="s">
        <v>56</v>
      </c>
      <c r="G100" s="7">
        <v>87</v>
      </c>
      <c r="H100" s="7">
        <v>87</v>
      </c>
      <c r="I100" s="7">
        <v>54</v>
      </c>
      <c r="J100" s="7">
        <v>75</v>
      </c>
      <c r="K100" s="7">
        <v>87</v>
      </c>
      <c r="L100" s="7">
        <v>390</v>
      </c>
    </row>
    <row r="101" spans="3:12" x14ac:dyDescent="0.3">
      <c r="E101" s="7">
        <v>4</v>
      </c>
      <c r="F101" s="7" t="s">
        <v>35</v>
      </c>
      <c r="G101" s="7">
        <v>90</v>
      </c>
      <c r="H101" s="7">
        <v>88</v>
      </c>
      <c r="I101" s="7">
        <v>67</v>
      </c>
      <c r="J101" s="7">
        <v>85</v>
      </c>
      <c r="K101" s="7">
        <v>75</v>
      </c>
      <c r="L101" s="7">
        <v>408</v>
      </c>
    </row>
    <row r="104" spans="3:12" x14ac:dyDescent="0.3">
      <c r="E104" t="s">
        <v>11</v>
      </c>
    </row>
    <row r="105" spans="3:12" x14ac:dyDescent="0.3">
      <c r="E105" t="s">
        <v>61</v>
      </c>
    </row>
    <row r="108" spans="3:12" x14ac:dyDescent="0.3">
      <c r="E108" t="s">
        <v>62</v>
      </c>
    </row>
    <row r="112" spans="3:12" x14ac:dyDescent="0.3">
      <c r="C112" t="s">
        <v>63</v>
      </c>
      <c r="D112" t="s">
        <v>17</v>
      </c>
      <c r="E112" t="s">
        <v>70</v>
      </c>
      <c r="F112" t="s">
        <v>71</v>
      </c>
      <c r="G112" t="s">
        <v>0</v>
      </c>
      <c r="H112" t="s">
        <v>72</v>
      </c>
      <c r="I112" t="s">
        <v>73</v>
      </c>
    </row>
    <row r="113" spans="3:8" x14ac:dyDescent="0.3">
      <c r="C113" t="s">
        <v>64</v>
      </c>
      <c r="D113" t="s">
        <v>74</v>
      </c>
      <c r="E113" t="s">
        <v>75</v>
      </c>
      <c r="F113" t="s">
        <v>76</v>
      </c>
      <c r="G113" t="s">
        <v>73</v>
      </c>
      <c r="H113" t="s">
        <v>77</v>
      </c>
    </row>
    <row r="114" spans="3:8" x14ac:dyDescent="0.3">
      <c r="C114" t="s">
        <v>65</v>
      </c>
      <c r="D114" t="s">
        <v>68</v>
      </c>
    </row>
    <row r="115" spans="3:8" x14ac:dyDescent="0.3">
      <c r="C115" t="s">
        <v>66</v>
      </c>
      <c r="D115" t="s">
        <v>69</v>
      </c>
    </row>
    <row r="119" spans="3:8" x14ac:dyDescent="0.3">
      <c r="C119" t="s">
        <v>78</v>
      </c>
    </row>
    <row r="122" spans="3:8" x14ac:dyDescent="0.3">
      <c r="C122" s="7" t="s">
        <v>79</v>
      </c>
      <c r="D122" s="7" t="s">
        <v>83</v>
      </c>
      <c r="E122" s="7" t="s">
        <v>84</v>
      </c>
      <c r="F122" s="7" t="s">
        <v>85</v>
      </c>
      <c r="G122" s="7" t="s">
        <v>86</v>
      </c>
      <c r="H122" s="10" t="s">
        <v>87</v>
      </c>
    </row>
    <row r="123" spans="3:8" x14ac:dyDescent="0.3">
      <c r="C123" s="7" t="s">
        <v>67</v>
      </c>
      <c r="D123" s="7">
        <v>101</v>
      </c>
      <c r="E123" s="7">
        <v>22</v>
      </c>
      <c r="F123" s="9">
        <v>37653</v>
      </c>
      <c r="G123" s="7">
        <v>12000</v>
      </c>
      <c r="H123" s="1" t="s">
        <v>88</v>
      </c>
    </row>
    <row r="124" spans="3:8" x14ac:dyDescent="0.3">
      <c r="C124" s="7" t="s">
        <v>69</v>
      </c>
      <c r="D124" s="7">
        <v>102</v>
      </c>
      <c r="E124" s="7">
        <v>21</v>
      </c>
      <c r="F124" s="9">
        <v>35793</v>
      </c>
      <c r="G124" s="7">
        <v>18000</v>
      </c>
      <c r="H124" s="1" t="s">
        <v>89</v>
      </c>
    </row>
    <row r="125" spans="3:8" x14ac:dyDescent="0.3">
      <c r="C125" s="7" t="s">
        <v>80</v>
      </c>
      <c r="D125" s="7">
        <v>103</v>
      </c>
      <c r="E125" s="7">
        <v>24</v>
      </c>
      <c r="F125" s="9">
        <v>33226</v>
      </c>
      <c r="G125" s="7">
        <v>19000</v>
      </c>
      <c r="H125" s="1"/>
    </row>
    <row r="126" spans="3:8" x14ac:dyDescent="0.3">
      <c r="C126" s="7" t="s">
        <v>81</v>
      </c>
      <c r="D126" s="7">
        <v>104</v>
      </c>
      <c r="E126" s="7">
        <v>31</v>
      </c>
      <c r="F126" s="9">
        <v>33166</v>
      </c>
      <c r="G126" s="7">
        <v>21000</v>
      </c>
      <c r="H126" s="1"/>
    </row>
    <row r="127" spans="3:8" x14ac:dyDescent="0.3">
      <c r="C127" s="7" t="s">
        <v>82</v>
      </c>
      <c r="D127" s="7">
        <v>105</v>
      </c>
      <c r="E127" s="7">
        <v>43</v>
      </c>
      <c r="F127" s="9">
        <v>30411</v>
      </c>
      <c r="G127" s="7">
        <v>21400</v>
      </c>
      <c r="H127" s="1"/>
    </row>
    <row r="128" spans="3:8" x14ac:dyDescent="0.3">
      <c r="D128" s="7">
        <v>106</v>
      </c>
    </row>
    <row r="129" spans="2:8" x14ac:dyDescent="0.3">
      <c r="D129" s="7">
        <v>107</v>
      </c>
    </row>
    <row r="133" spans="2:8" x14ac:dyDescent="0.3">
      <c r="C133" t="s">
        <v>90</v>
      </c>
    </row>
    <row r="135" spans="2:8" x14ac:dyDescent="0.3">
      <c r="B135" s="7" t="s">
        <v>91</v>
      </c>
      <c r="C135" s="7" t="s">
        <v>94</v>
      </c>
      <c r="D135" s="7" t="s">
        <v>95</v>
      </c>
      <c r="E135" s="7" t="s">
        <v>96</v>
      </c>
      <c r="F135" s="7" t="s">
        <v>97</v>
      </c>
      <c r="G135" s="7" t="s">
        <v>98</v>
      </c>
      <c r="H135" s="7" t="s">
        <v>99</v>
      </c>
    </row>
    <row r="136" spans="2:8" x14ac:dyDescent="0.3">
      <c r="B136" s="7" t="s">
        <v>67</v>
      </c>
      <c r="C136" s="7">
        <v>10000</v>
      </c>
      <c r="D136" s="7">
        <v>12000</v>
      </c>
      <c r="E136" s="7">
        <v>32000</v>
      </c>
      <c r="F136" s="7">
        <v>23000</v>
      </c>
      <c r="G136" s="7">
        <v>21000</v>
      </c>
      <c r="H136" s="7">
        <v>11000</v>
      </c>
    </row>
    <row r="137" spans="2:8" x14ac:dyDescent="0.3">
      <c r="B137" s="7" t="s">
        <v>92</v>
      </c>
      <c r="C137" s="7">
        <v>10000</v>
      </c>
      <c r="D137" s="7">
        <v>17000</v>
      </c>
      <c r="E137" s="7">
        <v>54000</v>
      </c>
      <c r="F137" s="7">
        <v>32000</v>
      </c>
      <c r="G137" s="7">
        <v>12000</v>
      </c>
      <c r="H137" s="7">
        <v>32000</v>
      </c>
    </row>
    <row r="138" spans="2:8" x14ac:dyDescent="0.3">
      <c r="B138" s="7" t="s">
        <v>69</v>
      </c>
      <c r="C138" s="7">
        <v>32000</v>
      </c>
      <c r="D138" s="7">
        <v>23000</v>
      </c>
      <c r="E138" s="7">
        <v>21000</v>
      </c>
      <c r="F138" s="7">
        <v>11000</v>
      </c>
      <c r="G138" s="7">
        <v>13000</v>
      </c>
      <c r="H138" s="7">
        <v>15000</v>
      </c>
    </row>
    <row r="139" spans="2:8" x14ac:dyDescent="0.3">
      <c r="B139" s="7" t="s">
        <v>93</v>
      </c>
      <c r="C139" s="7">
        <v>54000</v>
      </c>
      <c r="D139" s="7">
        <v>32000</v>
      </c>
      <c r="E139" s="7">
        <v>12000</v>
      </c>
      <c r="F139" s="7">
        <v>32000</v>
      </c>
      <c r="G139" s="7">
        <v>23000</v>
      </c>
      <c r="H139" s="7">
        <v>21000</v>
      </c>
    </row>
    <row r="140" spans="2:8" x14ac:dyDescent="0.3">
      <c r="B140" s="7" t="s">
        <v>16</v>
      </c>
      <c r="C140" s="7">
        <v>14000</v>
      </c>
      <c r="D140" s="7">
        <v>26000</v>
      </c>
      <c r="E140" s="7">
        <v>32200</v>
      </c>
      <c r="F140" s="7">
        <v>54000</v>
      </c>
      <c r="G140" s="7">
        <v>32000</v>
      </c>
      <c r="H140" s="7">
        <v>12000</v>
      </c>
    </row>
    <row r="141" spans="2:8" x14ac:dyDescent="0.3">
      <c r="B141" s="7" t="s">
        <v>60</v>
      </c>
      <c r="C141" s="7"/>
      <c r="D141" s="7"/>
      <c r="E141" s="7"/>
      <c r="F141" s="7"/>
      <c r="G141" s="7"/>
      <c r="H141" s="1"/>
    </row>
  </sheetData>
  <dataConsolidate function="max"/>
  <dataValidations count="2">
    <dataValidation type="whole" allowBlank="1" showInputMessage="1" showErrorMessage="1" sqref="D123:D129" xr:uid="{3600B1FB-D72E-4C75-9E77-942E5A1BF732}">
      <formula1>101</formula1>
      <formula2>105</formula2>
    </dataValidation>
    <dataValidation type="list" allowBlank="1" showInputMessage="1" showErrorMessage="1" sqref="H123:H127" xr:uid="{CB08B578-7209-4CC7-99AB-2BEDAF032129}">
      <formula1>"OPEN,CLOSE"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10B3-33B0-44EF-8C92-83B07B7BDD07}">
  <dimension ref="C5:I13"/>
  <sheetViews>
    <sheetView topLeftCell="A16" workbookViewId="0">
      <selection activeCell="D13" sqref="D13:I13"/>
    </sheetView>
  </sheetViews>
  <sheetFormatPr defaultRowHeight="14.4" x14ac:dyDescent="0.3"/>
  <cols>
    <col min="3" max="3" width="15.21875" bestFit="1" customWidth="1"/>
    <col min="4" max="8" width="7" bestFit="1" customWidth="1"/>
    <col min="9" max="9" width="6" bestFit="1" customWidth="1"/>
  </cols>
  <sheetData>
    <row r="5" spans="3:9" x14ac:dyDescent="0.3">
      <c r="C5" t="s">
        <v>100</v>
      </c>
    </row>
    <row r="7" spans="3:9" x14ac:dyDescent="0.3">
      <c r="C7" s="1" t="s">
        <v>91</v>
      </c>
      <c r="D7" s="1" t="s">
        <v>94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</row>
    <row r="8" spans="3:9" x14ac:dyDescent="0.3">
      <c r="C8" s="1" t="s">
        <v>67</v>
      </c>
      <c r="D8" s="1">
        <v>12000</v>
      </c>
      <c r="E8" s="1">
        <v>11000</v>
      </c>
      <c r="F8" s="1">
        <v>34000</v>
      </c>
      <c r="G8" s="1">
        <v>21000</v>
      </c>
      <c r="H8" s="1">
        <v>20000</v>
      </c>
      <c r="I8" s="1">
        <v>10000</v>
      </c>
    </row>
    <row r="9" spans="3:9" x14ac:dyDescent="0.3">
      <c r="C9" s="1" t="s">
        <v>92</v>
      </c>
      <c r="D9" s="1">
        <v>13000</v>
      </c>
      <c r="E9" s="1">
        <v>15000</v>
      </c>
      <c r="F9" s="1">
        <v>58000</v>
      </c>
      <c r="G9" s="1">
        <v>31000</v>
      </c>
      <c r="H9" s="1">
        <v>13000</v>
      </c>
      <c r="I9" s="1">
        <v>33000</v>
      </c>
    </row>
    <row r="10" spans="3:9" x14ac:dyDescent="0.3">
      <c r="C10" s="1" t="s">
        <v>69</v>
      </c>
      <c r="D10" s="1">
        <v>31000</v>
      </c>
      <c r="E10" s="1">
        <v>21000</v>
      </c>
      <c r="F10" s="1">
        <v>20000</v>
      </c>
      <c r="G10" s="1">
        <v>12000</v>
      </c>
      <c r="H10" s="1">
        <v>15000</v>
      </c>
      <c r="I10" s="1">
        <v>14000</v>
      </c>
    </row>
    <row r="11" spans="3:9" x14ac:dyDescent="0.3">
      <c r="C11" s="1" t="s">
        <v>93</v>
      </c>
      <c r="D11" s="1">
        <v>52000</v>
      </c>
      <c r="E11" s="1">
        <v>30000</v>
      </c>
      <c r="F11" s="1">
        <v>14000</v>
      </c>
      <c r="G11" s="1">
        <v>35000</v>
      </c>
      <c r="H11" s="1">
        <v>25000</v>
      </c>
      <c r="I11" s="1">
        <v>20000</v>
      </c>
    </row>
    <row r="12" spans="3:9" x14ac:dyDescent="0.3">
      <c r="C12" s="1" t="s">
        <v>16</v>
      </c>
      <c r="D12" s="1">
        <v>12000</v>
      </c>
      <c r="E12" s="1">
        <v>24000</v>
      </c>
      <c r="F12" s="1">
        <v>31200</v>
      </c>
      <c r="G12" s="1">
        <v>51000</v>
      </c>
      <c r="H12" s="1">
        <v>31000</v>
      </c>
      <c r="I12" s="1">
        <v>11000</v>
      </c>
    </row>
    <row r="13" spans="3:9" x14ac:dyDescent="0.3">
      <c r="C13" s="1" t="s">
        <v>60</v>
      </c>
      <c r="D13" s="1"/>
      <c r="E13" s="1"/>
      <c r="F13" s="1"/>
      <c r="G13" s="1"/>
      <c r="H13" s="1"/>
      <c r="I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6559-088E-451F-BB8E-916136226FAE}">
  <dimension ref="C4:J15"/>
  <sheetViews>
    <sheetView workbookViewId="0">
      <selection activeCell="E15" sqref="E15:J15"/>
    </sheetView>
  </sheetViews>
  <sheetFormatPr defaultRowHeight="14.4" x14ac:dyDescent="0.3"/>
  <cols>
    <col min="4" max="4" width="15.21875" bestFit="1" customWidth="1"/>
    <col min="5" max="9" width="7" bestFit="1" customWidth="1"/>
    <col min="10" max="10" width="6" bestFit="1" customWidth="1"/>
  </cols>
  <sheetData>
    <row r="4" spans="3:10" x14ac:dyDescent="0.3">
      <c r="C4" t="s">
        <v>101</v>
      </c>
    </row>
    <row r="9" spans="3:10" x14ac:dyDescent="0.3">
      <c r="D9" s="7" t="s">
        <v>91</v>
      </c>
      <c r="E9" s="7" t="s">
        <v>94</v>
      </c>
      <c r="F9" s="7" t="s">
        <v>95</v>
      </c>
      <c r="G9" s="7" t="s">
        <v>96</v>
      </c>
      <c r="H9" s="7" t="s">
        <v>97</v>
      </c>
      <c r="I9" s="7" t="s">
        <v>98</v>
      </c>
      <c r="J9" s="7" t="s">
        <v>99</v>
      </c>
    </row>
    <row r="10" spans="3:10" x14ac:dyDescent="0.3">
      <c r="D10" s="7" t="s">
        <v>67</v>
      </c>
      <c r="E10" s="7">
        <v>13000</v>
      </c>
      <c r="F10" s="7">
        <v>14000</v>
      </c>
      <c r="G10" s="7">
        <v>38000</v>
      </c>
      <c r="H10" s="7">
        <v>23000</v>
      </c>
      <c r="I10" s="7">
        <v>22000</v>
      </c>
      <c r="J10" s="7">
        <v>12000</v>
      </c>
    </row>
    <row r="11" spans="3:10" x14ac:dyDescent="0.3">
      <c r="D11" s="7" t="s">
        <v>92</v>
      </c>
      <c r="E11" s="7">
        <v>15000</v>
      </c>
      <c r="F11" s="7">
        <v>16000</v>
      </c>
      <c r="G11" s="7">
        <v>52000</v>
      </c>
      <c r="H11" s="7">
        <v>32000</v>
      </c>
      <c r="I11" s="7">
        <v>12000</v>
      </c>
      <c r="J11" s="7">
        <v>35000</v>
      </c>
    </row>
    <row r="12" spans="3:10" x14ac:dyDescent="0.3">
      <c r="D12" s="7" t="s">
        <v>69</v>
      </c>
      <c r="E12" s="7">
        <v>35000</v>
      </c>
      <c r="F12" s="7">
        <v>25000</v>
      </c>
      <c r="G12" s="7">
        <v>21000</v>
      </c>
      <c r="H12" s="7">
        <v>11000</v>
      </c>
      <c r="I12" s="7">
        <v>16000</v>
      </c>
      <c r="J12" s="7">
        <v>16000</v>
      </c>
    </row>
    <row r="13" spans="3:10" x14ac:dyDescent="0.3">
      <c r="D13" s="7" t="s">
        <v>93</v>
      </c>
      <c r="E13" s="7">
        <v>50000</v>
      </c>
      <c r="F13" s="7">
        <v>31000</v>
      </c>
      <c r="G13" s="7">
        <v>16000</v>
      </c>
      <c r="H13" s="7">
        <v>36000</v>
      </c>
      <c r="I13" s="7">
        <v>22000</v>
      </c>
      <c r="J13" s="7">
        <v>21000</v>
      </c>
    </row>
    <row r="14" spans="3:10" x14ac:dyDescent="0.3">
      <c r="D14" s="7" t="s">
        <v>16</v>
      </c>
      <c r="E14" s="7">
        <v>10000</v>
      </c>
      <c r="F14" s="7">
        <v>26000</v>
      </c>
      <c r="G14" s="7">
        <v>33200</v>
      </c>
      <c r="H14" s="7">
        <v>55000</v>
      </c>
      <c r="I14" s="7">
        <v>32000</v>
      </c>
      <c r="J14" s="7">
        <v>10000</v>
      </c>
    </row>
    <row r="15" spans="3:10" x14ac:dyDescent="0.3">
      <c r="D15" s="7" t="s">
        <v>60</v>
      </c>
      <c r="E15" s="7"/>
      <c r="F15" s="7"/>
      <c r="G15" s="7"/>
      <c r="H15" s="7"/>
      <c r="I15" s="7"/>
      <c r="J1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8A00-5474-4D9B-B70F-D73996653022}">
  <dimension ref="A1:L84"/>
  <sheetViews>
    <sheetView tabSelected="1" topLeftCell="A27" workbookViewId="0">
      <selection activeCell="G42" sqref="G42"/>
    </sheetView>
  </sheetViews>
  <sheetFormatPr defaultRowHeight="14.4" outlineLevelRow="2" x14ac:dyDescent="0.3"/>
  <cols>
    <col min="1" max="1" width="2.21875" customWidth="1"/>
    <col min="2" max="2" width="4" bestFit="1" customWidth="1"/>
    <col min="4" max="4" width="15.88671875" bestFit="1" customWidth="1"/>
    <col min="5" max="5" width="4.44140625" bestFit="1" customWidth="1"/>
    <col min="6" max="6" width="12.44140625" bestFit="1" customWidth="1"/>
    <col min="7" max="7" width="7.33203125" bestFit="1" customWidth="1"/>
    <col min="8" max="9" width="10.6640625" bestFit="1" customWidth="1"/>
    <col min="10" max="10" width="16.109375" bestFit="1" customWidth="1"/>
  </cols>
  <sheetData>
    <row r="1" spans="1:8" x14ac:dyDescent="0.3"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 outlineLevel="1" x14ac:dyDescent="0.3">
      <c r="B2" t="s">
        <v>102</v>
      </c>
      <c r="C2">
        <f>Sheet2!$C$136</f>
        <v>10000</v>
      </c>
      <c r="D2">
        <f>Sheet2!$D$136</f>
        <v>12000</v>
      </c>
      <c r="E2">
        <f>Sheet2!$E$136</f>
        <v>32000</v>
      </c>
      <c r="F2">
        <f>Sheet2!$F$136</f>
        <v>23000</v>
      </c>
      <c r="G2">
        <f>Sheet2!$G$136</f>
        <v>21000</v>
      </c>
      <c r="H2">
        <f>Sheet2!$H$136</f>
        <v>11000</v>
      </c>
    </row>
    <row r="3" spans="1:8" outlineLevel="1" collapsed="1" x14ac:dyDescent="0.3">
      <c r="B3" t="s">
        <v>102</v>
      </c>
      <c r="C3">
        <f>Sheet3!$D$8</f>
        <v>12000</v>
      </c>
      <c r="D3">
        <f>Sheet3!$E$8</f>
        <v>11000</v>
      </c>
      <c r="E3">
        <f>Sheet3!$F$8</f>
        <v>34000</v>
      </c>
      <c r="F3">
        <f>Sheet3!$G$8</f>
        <v>21000</v>
      </c>
      <c r="G3">
        <f>Sheet3!$H$8</f>
        <v>20000</v>
      </c>
      <c r="H3">
        <f>Sheet3!$I$8</f>
        <v>10000</v>
      </c>
    </row>
    <row r="4" spans="1:8" outlineLevel="1" collapsed="1" x14ac:dyDescent="0.3">
      <c r="B4" t="s">
        <v>102</v>
      </c>
      <c r="C4">
        <f>Sheet4!$E$10</f>
        <v>13000</v>
      </c>
      <c r="D4">
        <f>Sheet4!$F$10</f>
        <v>14000</v>
      </c>
      <c r="E4">
        <f>Sheet4!$G$10</f>
        <v>38000</v>
      </c>
      <c r="F4">
        <f>Sheet4!$H$10</f>
        <v>23000</v>
      </c>
      <c r="G4">
        <f>Sheet4!$I$10</f>
        <v>22000</v>
      </c>
      <c r="H4">
        <f>Sheet4!$J$10</f>
        <v>12000</v>
      </c>
    </row>
    <row r="5" spans="1:8" x14ac:dyDescent="0.3">
      <c r="A5" t="s">
        <v>67</v>
      </c>
      <c r="C5">
        <f t="shared" ref="C5:H5" si="0">SUM(C2:C4)</f>
        <v>35000</v>
      </c>
      <c r="D5">
        <f t="shared" si="0"/>
        <v>37000</v>
      </c>
      <c r="E5">
        <f t="shared" si="0"/>
        <v>104000</v>
      </c>
      <c r="F5">
        <f t="shared" si="0"/>
        <v>67000</v>
      </c>
      <c r="G5">
        <f t="shared" si="0"/>
        <v>63000</v>
      </c>
      <c r="H5">
        <f t="shared" si="0"/>
        <v>33000</v>
      </c>
    </row>
    <row r="6" spans="1:8" outlineLevel="1" x14ac:dyDescent="0.3">
      <c r="B6" t="s">
        <v>102</v>
      </c>
      <c r="C6">
        <f>Sheet2!$C$137</f>
        <v>10000</v>
      </c>
      <c r="D6">
        <f>Sheet2!$D$137</f>
        <v>17000</v>
      </c>
      <c r="E6">
        <f>Sheet2!$E$137</f>
        <v>54000</v>
      </c>
      <c r="F6">
        <f>Sheet2!$F$137</f>
        <v>32000</v>
      </c>
      <c r="G6">
        <f>Sheet2!$G$137</f>
        <v>12000</v>
      </c>
      <c r="H6">
        <f>Sheet2!$H$137</f>
        <v>32000</v>
      </c>
    </row>
    <row r="7" spans="1:8" outlineLevel="1" collapsed="1" x14ac:dyDescent="0.3">
      <c r="B7" t="s">
        <v>102</v>
      </c>
      <c r="C7">
        <f>Sheet3!$D$9</f>
        <v>13000</v>
      </c>
      <c r="D7">
        <f>Sheet3!$E$9</f>
        <v>15000</v>
      </c>
      <c r="E7">
        <f>Sheet3!$F$9</f>
        <v>58000</v>
      </c>
      <c r="F7">
        <f>Sheet3!$G$9</f>
        <v>31000</v>
      </c>
      <c r="G7">
        <f>Sheet3!$H$9</f>
        <v>13000</v>
      </c>
      <c r="H7">
        <f>Sheet3!$I$9</f>
        <v>33000</v>
      </c>
    </row>
    <row r="8" spans="1:8" outlineLevel="1" collapsed="1" x14ac:dyDescent="0.3">
      <c r="B8" t="s">
        <v>102</v>
      </c>
      <c r="C8">
        <f>Sheet4!$E$11</f>
        <v>15000</v>
      </c>
      <c r="D8">
        <f>Sheet4!$F$11</f>
        <v>16000</v>
      </c>
      <c r="E8">
        <f>Sheet4!$G$11</f>
        <v>52000</v>
      </c>
      <c r="F8">
        <f>Sheet4!$H$11</f>
        <v>32000</v>
      </c>
      <c r="G8">
        <f>Sheet4!$I$11</f>
        <v>12000</v>
      </c>
      <c r="H8">
        <f>Sheet4!$J$11</f>
        <v>35000</v>
      </c>
    </row>
    <row r="9" spans="1:8" x14ac:dyDescent="0.3">
      <c r="A9" t="s">
        <v>92</v>
      </c>
      <c r="C9">
        <f t="shared" ref="C9:H9" si="1">SUM(C6:C8)</f>
        <v>38000</v>
      </c>
      <c r="D9">
        <f t="shared" si="1"/>
        <v>48000</v>
      </c>
      <c r="E9">
        <f t="shared" si="1"/>
        <v>164000</v>
      </c>
      <c r="F9">
        <f t="shared" si="1"/>
        <v>95000</v>
      </c>
      <c r="G9">
        <f t="shared" si="1"/>
        <v>37000</v>
      </c>
      <c r="H9">
        <f t="shared" si="1"/>
        <v>100000</v>
      </c>
    </row>
    <row r="10" spans="1:8" outlineLevel="1" x14ac:dyDescent="0.3">
      <c r="B10" t="s">
        <v>102</v>
      </c>
      <c r="C10">
        <f>Sheet2!$C$138</f>
        <v>32000</v>
      </c>
      <c r="D10">
        <f>Sheet2!$D$138</f>
        <v>23000</v>
      </c>
      <c r="E10">
        <f>Sheet2!$E$138</f>
        <v>21000</v>
      </c>
      <c r="F10">
        <f>Sheet2!$F$138</f>
        <v>11000</v>
      </c>
      <c r="G10">
        <f>Sheet2!$G$138</f>
        <v>13000</v>
      </c>
      <c r="H10">
        <f>Sheet2!$H$138</f>
        <v>15000</v>
      </c>
    </row>
    <row r="11" spans="1:8" outlineLevel="1" collapsed="1" x14ac:dyDescent="0.3">
      <c r="B11" t="s">
        <v>102</v>
      </c>
      <c r="C11">
        <f>Sheet3!$D$10</f>
        <v>31000</v>
      </c>
      <c r="D11">
        <f>Sheet3!$E$10</f>
        <v>21000</v>
      </c>
      <c r="E11">
        <f>Sheet3!$F$10</f>
        <v>20000</v>
      </c>
      <c r="F11">
        <f>Sheet3!$G$10</f>
        <v>12000</v>
      </c>
      <c r="G11">
        <f>Sheet3!$H$10</f>
        <v>15000</v>
      </c>
      <c r="H11">
        <f>Sheet3!$I$10</f>
        <v>14000</v>
      </c>
    </row>
    <row r="12" spans="1:8" outlineLevel="1" collapsed="1" x14ac:dyDescent="0.3">
      <c r="B12" t="s">
        <v>102</v>
      </c>
      <c r="C12">
        <f>Sheet4!$E$12</f>
        <v>35000</v>
      </c>
      <c r="D12">
        <f>Sheet4!$F$12</f>
        <v>25000</v>
      </c>
      <c r="E12">
        <f>Sheet4!$G$12</f>
        <v>21000</v>
      </c>
      <c r="F12">
        <f>Sheet4!$H$12</f>
        <v>11000</v>
      </c>
      <c r="G12">
        <f>Sheet4!$I$12</f>
        <v>16000</v>
      </c>
      <c r="H12">
        <f>Sheet4!$J$12</f>
        <v>16000</v>
      </c>
    </row>
    <row r="13" spans="1:8" x14ac:dyDescent="0.3">
      <c r="A13" t="s">
        <v>69</v>
      </c>
      <c r="C13">
        <f t="shared" ref="C13:H13" si="2">SUM(C10:C12)</f>
        <v>98000</v>
      </c>
      <c r="D13">
        <f t="shared" si="2"/>
        <v>69000</v>
      </c>
      <c r="E13">
        <f t="shared" si="2"/>
        <v>62000</v>
      </c>
      <c r="F13">
        <f t="shared" si="2"/>
        <v>34000</v>
      </c>
      <c r="G13">
        <f t="shared" si="2"/>
        <v>44000</v>
      </c>
      <c r="H13">
        <f t="shared" si="2"/>
        <v>45000</v>
      </c>
    </row>
    <row r="14" spans="1:8" outlineLevel="1" x14ac:dyDescent="0.3">
      <c r="B14" t="s">
        <v>102</v>
      </c>
      <c r="C14">
        <f>Sheet2!$C$139</f>
        <v>54000</v>
      </c>
      <c r="D14">
        <f>Sheet2!$D$139</f>
        <v>32000</v>
      </c>
      <c r="E14">
        <f>Sheet2!$E$139</f>
        <v>12000</v>
      </c>
      <c r="F14">
        <f>Sheet2!$F$139</f>
        <v>32000</v>
      </c>
      <c r="G14">
        <f>Sheet2!$G$139</f>
        <v>23000</v>
      </c>
      <c r="H14">
        <f>Sheet2!$H$139</f>
        <v>21000</v>
      </c>
    </row>
    <row r="15" spans="1:8" outlineLevel="1" collapsed="1" x14ac:dyDescent="0.3">
      <c r="B15" t="s">
        <v>102</v>
      </c>
      <c r="C15">
        <f>Sheet3!$D$11</f>
        <v>52000</v>
      </c>
      <c r="D15">
        <f>Sheet3!$E$11</f>
        <v>30000</v>
      </c>
      <c r="E15">
        <f>Sheet3!$F$11</f>
        <v>14000</v>
      </c>
      <c r="F15">
        <f>Sheet3!$G$11</f>
        <v>35000</v>
      </c>
      <c r="G15">
        <f>Sheet3!$H$11</f>
        <v>25000</v>
      </c>
      <c r="H15">
        <f>Sheet3!$I$11</f>
        <v>20000</v>
      </c>
    </row>
    <row r="16" spans="1:8" outlineLevel="1" collapsed="1" x14ac:dyDescent="0.3">
      <c r="B16" t="s">
        <v>102</v>
      </c>
      <c r="C16">
        <f>Sheet4!$E$13</f>
        <v>50000</v>
      </c>
      <c r="D16">
        <f>Sheet4!$F$13</f>
        <v>31000</v>
      </c>
      <c r="E16">
        <f>Sheet4!$G$13</f>
        <v>16000</v>
      </c>
      <c r="F16">
        <f>Sheet4!$H$13</f>
        <v>36000</v>
      </c>
      <c r="G16">
        <f>Sheet4!$I$13</f>
        <v>22000</v>
      </c>
      <c r="H16">
        <f>Sheet4!$J$13</f>
        <v>21000</v>
      </c>
    </row>
    <row r="17" spans="1:10" x14ac:dyDescent="0.3">
      <c r="A17" t="s">
        <v>93</v>
      </c>
      <c r="C17">
        <f t="shared" ref="C17:H17" si="3">SUM(C14:C16)</f>
        <v>156000</v>
      </c>
      <c r="D17">
        <f t="shared" si="3"/>
        <v>93000</v>
      </c>
      <c r="E17">
        <f t="shared" si="3"/>
        <v>42000</v>
      </c>
      <c r="F17">
        <f t="shared" si="3"/>
        <v>103000</v>
      </c>
      <c r="G17">
        <f t="shared" si="3"/>
        <v>70000</v>
      </c>
      <c r="H17">
        <f t="shared" si="3"/>
        <v>62000</v>
      </c>
    </row>
    <row r="18" spans="1:10" outlineLevel="1" x14ac:dyDescent="0.3">
      <c r="B18" t="s">
        <v>102</v>
      </c>
      <c r="C18">
        <f>Sheet2!$C$140</f>
        <v>14000</v>
      </c>
      <c r="D18">
        <f>Sheet2!$D$140</f>
        <v>26000</v>
      </c>
      <c r="E18">
        <f>Sheet2!$E$140</f>
        <v>32200</v>
      </c>
      <c r="F18">
        <f>Sheet2!$F$140</f>
        <v>54000</v>
      </c>
      <c r="G18">
        <f>Sheet2!$G$140</f>
        <v>32000</v>
      </c>
      <c r="H18">
        <f>Sheet2!$H$140</f>
        <v>12000</v>
      </c>
    </row>
    <row r="19" spans="1:10" outlineLevel="1" collapsed="1" x14ac:dyDescent="0.3">
      <c r="B19" t="s">
        <v>102</v>
      </c>
      <c r="C19">
        <f>Sheet3!$D$12</f>
        <v>12000</v>
      </c>
      <c r="D19">
        <f>Sheet3!$E$12</f>
        <v>24000</v>
      </c>
      <c r="E19">
        <f>Sheet3!$F$12</f>
        <v>31200</v>
      </c>
      <c r="F19">
        <f>Sheet3!$G$12</f>
        <v>51000</v>
      </c>
      <c r="G19">
        <f>Sheet3!$H$12</f>
        <v>31000</v>
      </c>
      <c r="H19">
        <f>Sheet3!$I$12</f>
        <v>11000</v>
      </c>
    </row>
    <row r="20" spans="1:10" outlineLevel="1" collapsed="1" x14ac:dyDescent="0.3">
      <c r="B20" t="s">
        <v>102</v>
      </c>
      <c r="C20">
        <f>Sheet4!$E$14</f>
        <v>10000</v>
      </c>
      <c r="D20">
        <f>Sheet4!$F$14</f>
        <v>26000</v>
      </c>
      <c r="E20">
        <f>Sheet4!$G$14</f>
        <v>33200</v>
      </c>
      <c r="F20">
        <f>Sheet4!$H$14</f>
        <v>55000</v>
      </c>
      <c r="G20">
        <f>Sheet4!$I$14</f>
        <v>32000</v>
      </c>
      <c r="H20">
        <f>Sheet4!$J$14</f>
        <v>10000</v>
      </c>
    </row>
    <row r="21" spans="1:10" x14ac:dyDescent="0.3">
      <c r="A21" t="s">
        <v>16</v>
      </c>
      <c r="C21">
        <f t="shared" ref="C21:H21" si="4">SUM(C18:C20)</f>
        <v>36000</v>
      </c>
      <c r="D21">
        <f t="shared" si="4"/>
        <v>76000</v>
      </c>
      <c r="E21">
        <f t="shared" si="4"/>
        <v>96600</v>
      </c>
      <c r="F21">
        <f t="shared" si="4"/>
        <v>160000</v>
      </c>
      <c r="G21">
        <f t="shared" si="4"/>
        <v>95000</v>
      </c>
      <c r="H21">
        <f t="shared" si="4"/>
        <v>33000</v>
      </c>
    </row>
    <row r="22" spans="1:10" x14ac:dyDescent="0.3">
      <c r="A22" t="s">
        <v>60</v>
      </c>
    </row>
    <row r="28" spans="1:10" x14ac:dyDescent="0.3">
      <c r="E28" t="s">
        <v>103</v>
      </c>
    </row>
    <row r="30" spans="1:10" x14ac:dyDescent="0.3">
      <c r="B30" s="7" t="s">
        <v>104</v>
      </c>
      <c r="C30" s="7" t="s">
        <v>105</v>
      </c>
      <c r="D30" s="7" t="s">
        <v>106</v>
      </c>
      <c r="E30" s="7" t="s">
        <v>84</v>
      </c>
      <c r="F30" s="7" t="s">
        <v>111</v>
      </c>
      <c r="G30" s="7"/>
      <c r="H30" s="7" t="s">
        <v>118</v>
      </c>
      <c r="I30" s="7" t="s">
        <v>117</v>
      </c>
      <c r="J30" s="7" t="s">
        <v>119</v>
      </c>
    </row>
    <row r="31" spans="1:10" outlineLevel="2" x14ac:dyDescent="0.3">
      <c r="B31" s="7">
        <v>101</v>
      </c>
      <c r="C31" s="7">
        <v>213423</v>
      </c>
      <c r="D31" s="7" t="s">
        <v>80</v>
      </c>
      <c r="E31" s="7">
        <v>32</v>
      </c>
      <c r="F31" s="7" t="s">
        <v>112</v>
      </c>
      <c r="G31" s="7" t="s">
        <v>115</v>
      </c>
      <c r="H31" s="7">
        <v>1150</v>
      </c>
      <c r="I31" s="7">
        <v>1400</v>
      </c>
      <c r="J31" s="7">
        <v>2650</v>
      </c>
    </row>
    <row r="32" spans="1:10" outlineLevel="1" x14ac:dyDescent="0.3">
      <c r="B32" s="7"/>
      <c r="C32" s="7"/>
      <c r="D32" s="7"/>
      <c r="E32" s="7"/>
      <c r="F32" s="7"/>
      <c r="G32" s="12" t="s">
        <v>120</v>
      </c>
      <c r="H32" s="7"/>
      <c r="I32" s="7"/>
      <c r="J32" s="7">
        <f>SUBTOTAL(9,J31:J31)</f>
        <v>2650</v>
      </c>
    </row>
    <row r="33" spans="2:10" outlineLevel="2" x14ac:dyDescent="0.3">
      <c r="B33" s="7">
        <v>107</v>
      </c>
      <c r="C33" s="7">
        <v>213423</v>
      </c>
      <c r="D33" s="7" t="s">
        <v>37</v>
      </c>
      <c r="E33" s="7">
        <v>31</v>
      </c>
      <c r="F33" s="7" t="s">
        <v>113</v>
      </c>
      <c r="G33" s="7" t="s">
        <v>116</v>
      </c>
      <c r="H33" s="7">
        <v>1280</v>
      </c>
      <c r="I33" s="7">
        <v>3200</v>
      </c>
      <c r="J33" s="7">
        <v>4480</v>
      </c>
    </row>
    <row r="34" spans="2:10" outlineLevel="1" x14ac:dyDescent="0.3">
      <c r="B34" s="7"/>
      <c r="C34" s="7"/>
      <c r="D34" s="7"/>
      <c r="E34" s="7"/>
      <c r="F34" s="7"/>
      <c r="G34" s="12" t="s">
        <v>121</v>
      </c>
      <c r="H34" s="7"/>
      <c r="I34" s="7"/>
      <c r="J34" s="7">
        <f>SUBTOTAL(9,J33:J33)</f>
        <v>4480</v>
      </c>
    </row>
    <row r="35" spans="2:10" outlineLevel="2" x14ac:dyDescent="0.3">
      <c r="B35" s="7">
        <v>103</v>
      </c>
      <c r="C35" s="7">
        <v>213423</v>
      </c>
      <c r="D35" s="7" t="s">
        <v>108</v>
      </c>
      <c r="E35" s="7">
        <v>32</v>
      </c>
      <c r="F35" s="7" t="s">
        <v>112</v>
      </c>
      <c r="G35" s="7" t="s">
        <v>95</v>
      </c>
      <c r="H35" s="7">
        <v>1200</v>
      </c>
      <c r="I35" s="7">
        <v>1100</v>
      </c>
      <c r="J35" s="7">
        <v>2300</v>
      </c>
    </row>
    <row r="36" spans="2:10" outlineLevel="1" x14ac:dyDescent="0.3">
      <c r="B36" s="7"/>
      <c r="C36" s="7"/>
      <c r="D36" s="7"/>
      <c r="E36" s="7"/>
      <c r="F36" s="7"/>
      <c r="G36" s="12" t="s">
        <v>122</v>
      </c>
      <c r="H36" s="7"/>
      <c r="I36" s="7"/>
      <c r="J36" s="7">
        <f>SUBTOTAL(9,J35:J35)</f>
        <v>2300</v>
      </c>
    </row>
    <row r="37" spans="2:10" outlineLevel="2" x14ac:dyDescent="0.3">
      <c r="B37" s="7">
        <v>104</v>
      </c>
      <c r="C37" s="7">
        <v>213423</v>
      </c>
      <c r="D37" s="7" t="s">
        <v>107</v>
      </c>
      <c r="E37" s="7">
        <v>30</v>
      </c>
      <c r="F37" s="7" t="s">
        <v>112</v>
      </c>
      <c r="G37" s="7" t="s">
        <v>94</v>
      </c>
      <c r="H37" s="7">
        <v>1100</v>
      </c>
      <c r="I37" s="7">
        <v>1230</v>
      </c>
      <c r="J37" s="7">
        <v>2330</v>
      </c>
    </row>
    <row r="38" spans="2:10" outlineLevel="2" x14ac:dyDescent="0.3">
      <c r="B38" s="7">
        <v>108</v>
      </c>
      <c r="C38" s="7">
        <v>213423</v>
      </c>
      <c r="D38" s="7" t="s">
        <v>109</v>
      </c>
      <c r="E38" s="7">
        <v>32</v>
      </c>
      <c r="F38" s="7" t="s">
        <v>114</v>
      </c>
      <c r="G38" s="7" t="s">
        <v>94</v>
      </c>
      <c r="H38" s="7">
        <v>1232</v>
      </c>
      <c r="I38" s="7">
        <v>2100</v>
      </c>
      <c r="J38" s="7">
        <v>3332</v>
      </c>
    </row>
    <row r="39" spans="2:10" outlineLevel="2" x14ac:dyDescent="0.3">
      <c r="B39" s="7">
        <v>105</v>
      </c>
      <c r="C39" s="7">
        <v>213423</v>
      </c>
      <c r="D39" s="7" t="s">
        <v>107</v>
      </c>
      <c r="E39" s="7">
        <v>30</v>
      </c>
      <c r="F39" s="7" t="s">
        <v>113</v>
      </c>
      <c r="G39" s="7" t="s">
        <v>94</v>
      </c>
      <c r="H39" s="7">
        <v>800</v>
      </c>
      <c r="I39" s="7">
        <v>1240</v>
      </c>
      <c r="J39" s="7">
        <v>2040</v>
      </c>
    </row>
    <row r="40" spans="2:10" outlineLevel="1" x14ac:dyDescent="0.3">
      <c r="B40" s="7"/>
      <c r="C40" s="7"/>
      <c r="D40" s="7"/>
      <c r="E40" s="7"/>
      <c r="F40" s="7"/>
      <c r="G40" s="12" t="s">
        <v>123</v>
      </c>
      <c r="H40" s="7"/>
      <c r="I40" s="7"/>
      <c r="J40" s="7">
        <f>SUBTOTAL(9,J37:J39)</f>
        <v>7702</v>
      </c>
    </row>
    <row r="41" spans="2:10" outlineLevel="2" x14ac:dyDescent="0.3">
      <c r="B41" s="7">
        <v>106</v>
      </c>
      <c r="C41" s="7">
        <v>213423</v>
      </c>
      <c r="D41" s="7" t="s">
        <v>34</v>
      </c>
      <c r="E41" s="7">
        <v>31</v>
      </c>
      <c r="F41" s="7" t="s">
        <v>114</v>
      </c>
      <c r="G41" s="7" t="s">
        <v>96</v>
      </c>
      <c r="H41" s="7">
        <v>1134</v>
      </c>
      <c r="I41" s="7">
        <v>2200</v>
      </c>
      <c r="J41" s="7">
        <v>3334</v>
      </c>
    </row>
    <row r="42" spans="2:10" outlineLevel="2" x14ac:dyDescent="0.3">
      <c r="B42" s="7">
        <v>102</v>
      </c>
      <c r="C42" s="7">
        <v>213423</v>
      </c>
      <c r="D42" s="7" t="s">
        <v>110</v>
      </c>
      <c r="E42" s="7">
        <v>31</v>
      </c>
      <c r="F42" s="7" t="s">
        <v>112</v>
      </c>
      <c r="G42" s="16" t="s">
        <v>96</v>
      </c>
      <c r="H42" s="7">
        <v>1200</v>
      </c>
      <c r="I42" s="7">
        <v>1300</v>
      </c>
      <c r="J42" s="7">
        <v>2500</v>
      </c>
    </row>
    <row r="43" spans="2:10" outlineLevel="1" x14ac:dyDescent="0.3">
      <c r="B43" s="11"/>
      <c r="C43" s="11"/>
      <c r="D43" s="11"/>
      <c r="E43" s="11"/>
      <c r="F43" s="11"/>
      <c r="G43" s="13" t="s">
        <v>124</v>
      </c>
      <c r="H43" s="11"/>
      <c r="I43" s="11"/>
      <c r="J43" s="11">
        <f>SUBTOTAL(9,J41:J42)</f>
        <v>5834</v>
      </c>
    </row>
    <row r="44" spans="2:10" x14ac:dyDescent="0.3">
      <c r="B44" s="11"/>
      <c r="C44" s="11"/>
      <c r="D44" s="11"/>
      <c r="E44" s="11"/>
      <c r="F44" s="11"/>
      <c r="G44" s="13" t="s">
        <v>125</v>
      </c>
      <c r="H44" s="11"/>
      <c r="I44" s="11"/>
      <c r="J44" s="11">
        <f>SUBTOTAL(9,J31:J42)</f>
        <v>22966</v>
      </c>
    </row>
    <row r="48" spans="2:10" x14ac:dyDescent="0.3">
      <c r="D48" t="s">
        <v>126</v>
      </c>
    </row>
    <row r="49" spans="3:4" x14ac:dyDescent="0.3">
      <c r="C49" t="s">
        <v>127</v>
      </c>
    </row>
    <row r="51" spans="3:4" x14ac:dyDescent="0.3">
      <c r="C51" s="1" t="s">
        <v>128</v>
      </c>
      <c r="D51" s="1" t="s">
        <v>48</v>
      </c>
    </row>
    <row r="52" spans="3:4" x14ac:dyDescent="0.3">
      <c r="C52" s="1" t="s">
        <v>44</v>
      </c>
      <c r="D52" s="1">
        <v>35</v>
      </c>
    </row>
    <row r="53" spans="3:4" x14ac:dyDescent="0.3">
      <c r="C53" s="1" t="s">
        <v>45</v>
      </c>
      <c r="D53" s="1">
        <v>45</v>
      </c>
    </row>
    <row r="54" spans="3:4" x14ac:dyDescent="0.3">
      <c r="C54" s="1" t="s">
        <v>60</v>
      </c>
      <c r="D54" s="1">
        <f>D52*D53</f>
        <v>1575</v>
      </c>
    </row>
    <row r="56" spans="3:4" x14ac:dyDescent="0.3">
      <c r="C56" t="s">
        <v>129</v>
      </c>
    </row>
    <row r="57" spans="3:4" x14ac:dyDescent="0.3">
      <c r="C57" s="1" t="s">
        <v>44</v>
      </c>
      <c r="D57" s="1" t="s">
        <v>130</v>
      </c>
    </row>
    <row r="58" spans="3:4" x14ac:dyDescent="0.3">
      <c r="C58" s="1"/>
      <c r="D58" s="1">
        <f>D54</f>
        <v>1575</v>
      </c>
    </row>
    <row r="59" spans="3:4" x14ac:dyDescent="0.3">
      <c r="C59" s="1">
        <v>25</v>
      </c>
      <c r="D59" s="1">
        <f t="dataTable" ref="D59:D63" dt2D="0" dtr="0" r1="D52"/>
        <v>1125</v>
      </c>
    </row>
    <row r="60" spans="3:4" x14ac:dyDescent="0.3">
      <c r="C60" s="1">
        <v>35</v>
      </c>
      <c r="D60" s="1">
        <v>1575</v>
      </c>
    </row>
    <row r="61" spans="3:4" x14ac:dyDescent="0.3">
      <c r="C61" s="1">
        <v>40</v>
      </c>
      <c r="D61" s="1">
        <v>1800</v>
      </c>
    </row>
    <row r="62" spans="3:4" x14ac:dyDescent="0.3">
      <c r="C62" s="1">
        <v>45</v>
      </c>
      <c r="D62" s="1">
        <v>2025</v>
      </c>
    </row>
    <row r="63" spans="3:4" x14ac:dyDescent="0.3">
      <c r="C63" s="1">
        <v>30</v>
      </c>
      <c r="D63" s="1">
        <v>1350</v>
      </c>
    </row>
    <row r="68" spans="3:12" x14ac:dyDescent="0.3">
      <c r="D68" t="s">
        <v>131</v>
      </c>
    </row>
    <row r="70" spans="3:12" x14ac:dyDescent="0.3">
      <c r="C70" s="1" t="s">
        <v>132</v>
      </c>
      <c r="D70" s="1" t="s">
        <v>11</v>
      </c>
      <c r="E70" s="1" t="s">
        <v>84</v>
      </c>
      <c r="F70" s="1" t="s">
        <v>111</v>
      </c>
      <c r="G70" s="1" t="s">
        <v>133</v>
      </c>
      <c r="H70" s="1" t="s">
        <v>134</v>
      </c>
      <c r="I70" s="1" t="s">
        <v>135</v>
      </c>
    </row>
    <row r="71" spans="3:12" x14ac:dyDescent="0.3">
      <c r="C71" s="1">
        <v>101</v>
      </c>
      <c r="D71" s="1" t="s">
        <v>136</v>
      </c>
      <c r="E71" s="1">
        <v>32</v>
      </c>
      <c r="F71" s="1" t="s">
        <v>112</v>
      </c>
      <c r="G71" s="1">
        <v>1200</v>
      </c>
      <c r="H71" s="1">
        <v>1100</v>
      </c>
      <c r="I71" s="1">
        <v>2300</v>
      </c>
    </row>
    <row r="72" spans="3:12" x14ac:dyDescent="0.3">
      <c r="C72" s="1">
        <v>102</v>
      </c>
      <c r="D72" s="1" t="s">
        <v>137</v>
      </c>
      <c r="E72" s="1">
        <v>40</v>
      </c>
      <c r="F72" s="1" t="s">
        <v>112</v>
      </c>
      <c r="G72" s="1">
        <v>1100</v>
      </c>
      <c r="H72" s="1">
        <v>1260</v>
      </c>
      <c r="I72" s="1">
        <v>3200</v>
      </c>
    </row>
    <row r="73" spans="3:12" x14ac:dyDescent="0.3">
      <c r="C73" s="1">
        <v>103</v>
      </c>
      <c r="D73" s="1" t="s">
        <v>138</v>
      </c>
      <c r="E73" s="1">
        <v>18</v>
      </c>
      <c r="F73" s="1" t="s">
        <v>114</v>
      </c>
      <c r="G73" s="1">
        <v>850</v>
      </c>
      <c r="H73" s="1">
        <v>500</v>
      </c>
      <c r="I73" s="1">
        <v>960</v>
      </c>
    </row>
    <row r="74" spans="3:12" x14ac:dyDescent="0.3">
      <c r="C74" s="1">
        <v>104</v>
      </c>
      <c r="D74" s="1" t="s">
        <v>139</v>
      </c>
      <c r="E74" s="1">
        <v>35</v>
      </c>
      <c r="F74" s="1" t="s">
        <v>113</v>
      </c>
      <c r="G74" s="1">
        <v>780</v>
      </c>
      <c r="H74" s="1">
        <v>520</v>
      </c>
      <c r="I74" s="1">
        <v>485</v>
      </c>
    </row>
    <row r="75" spans="3:12" x14ac:dyDescent="0.3">
      <c r="C75" s="1">
        <v>105</v>
      </c>
      <c r="D75" s="1" t="s">
        <v>140</v>
      </c>
      <c r="E75" s="1">
        <v>20</v>
      </c>
      <c r="F75" s="1" t="s">
        <v>113</v>
      </c>
      <c r="G75" s="1">
        <v>890</v>
      </c>
      <c r="H75" s="1">
        <v>561</v>
      </c>
      <c r="I75" s="1">
        <v>875</v>
      </c>
    </row>
    <row r="76" spans="3:12" x14ac:dyDescent="0.3">
      <c r="C76" s="1">
        <v>106</v>
      </c>
      <c r="D76" s="1" t="s">
        <v>141</v>
      </c>
      <c r="E76" s="1">
        <v>48</v>
      </c>
      <c r="F76" s="1" t="s">
        <v>114</v>
      </c>
      <c r="G76" s="1">
        <v>780</v>
      </c>
      <c r="H76" s="1">
        <v>650</v>
      </c>
      <c r="I76" s="1">
        <v>120</v>
      </c>
    </row>
    <row r="77" spans="3:12" x14ac:dyDescent="0.3">
      <c r="C77" s="1">
        <v>107</v>
      </c>
      <c r="D77" s="1" t="s">
        <v>142</v>
      </c>
      <c r="E77" s="1">
        <v>45</v>
      </c>
      <c r="F77" s="1" t="s">
        <v>112</v>
      </c>
      <c r="G77" s="1">
        <v>522</v>
      </c>
      <c r="H77" s="1">
        <v>2000</v>
      </c>
      <c r="I77" s="1">
        <v>850</v>
      </c>
    </row>
    <row r="78" spans="3:12" x14ac:dyDescent="0.3">
      <c r="C78" s="1">
        <v>108</v>
      </c>
      <c r="D78" s="1" t="s">
        <v>143</v>
      </c>
      <c r="E78" s="1">
        <v>26</v>
      </c>
      <c r="F78" s="1" t="s">
        <v>114</v>
      </c>
      <c r="G78" s="1">
        <v>1280</v>
      </c>
      <c r="H78" s="1">
        <v>630</v>
      </c>
      <c r="I78" s="1">
        <v>845</v>
      </c>
    </row>
    <row r="79" spans="3:12" x14ac:dyDescent="0.3">
      <c r="C79" s="1">
        <v>109</v>
      </c>
      <c r="D79" s="1" t="s">
        <v>16</v>
      </c>
      <c r="E79" s="1">
        <v>30</v>
      </c>
      <c r="F79" s="1" t="s">
        <v>113</v>
      </c>
      <c r="G79" s="1">
        <v>560</v>
      </c>
      <c r="H79" s="1">
        <v>890</v>
      </c>
      <c r="I79" s="1">
        <v>800</v>
      </c>
      <c r="L79" t="e">
        <f>VLOOKUP(L75,C70:I80,104,0)</f>
        <v>#N/A</v>
      </c>
    </row>
    <row r="80" spans="3:12" x14ac:dyDescent="0.3">
      <c r="C80" s="1">
        <v>110</v>
      </c>
      <c r="D80" s="1" t="s">
        <v>144</v>
      </c>
      <c r="E80" s="1">
        <v>48</v>
      </c>
      <c r="F80" s="1" t="s">
        <v>112</v>
      </c>
      <c r="G80" s="1">
        <v>1200</v>
      </c>
      <c r="H80" s="1">
        <v>855</v>
      </c>
      <c r="I80" s="1">
        <v>2560</v>
      </c>
    </row>
    <row r="83" spans="3:9" x14ac:dyDescent="0.3">
      <c r="C83" s="1" t="s">
        <v>132</v>
      </c>
      <c r="D83" s="1" t="s">
        <v>11</v>
      </c>
      <c r="E83" s="1" t="s">
        <v>84</v>
      </c>
      <c r="F83" s="1" t="s">
        <v>111</v>
      </c>
      <c r="G83" s="1" t="s">
        <v>133</v>
      </c>
      <c r="H83" s="1" t="s">
        <v>134</v>
      </c>
      <c r="I83" s="1" t="s">
        <v>135</v>
      </c>
    </row>
    <row r="84" spans="3:9" x14ac:dyDescent="0.3">
      <c r="C84" s="1">
        <v>104</v>
      </c>
      <c r="D84" s="1" t="str">
        <f>VLOOKUP(C84,C70:I80,2,0)</f>
        <v>RAMAN</v>
      </c>
      <c r="E84" s="1">
        <f t="shared" ref="E84:I84" si="5">VLOOKUP(D84,D70:J80,2,0)</f>
        <v>35</v>
      </c>
      <c r="F84" s="1" t="str">
        <f t="shared" si="5"/>
        <v>FURNITURE</v>
      </c>
      <c r="G84" s="1">
        <f t="shared" si="5"/>
        <v>780</v>
      </c>
      <c r="H84" s="1">
        <f t="shared" si="5"/>
        <v>520</v>
      </c>
      <c r="I84" s="1">
        <f t="shared" si="5"/>
        <v>485</v>
      </c>
    </row>
  </sheetData>
  <sortState xmlns:xlrd2="http://schemas.microsoft.com/office/spreadsheetml/2017/richdata2" ref="B31:J42">
    <sortCondition ref="G31:G42"/>
  </sortState>
  <dataConsolidate topLabels="1" link="1">
    <dataRefs count="3">
      <dataRef ref="B135:H141" sheet="Sheet2"/>
      <dataRef ref="C7:I13" sheet="Sheet3"/>
      <dataRef ref="D9:J15" sheet="Sheet4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F237-197A-44A9-81CC-CE31A0F30C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Sheet2!Criteria</vt:lpstr>
      <vt:lpstr>HINDI</vt:lpstr>
      <vt:lpstr>NAME</vt:lpstr>
      <vt:lpstr>SHALINI</vt:lpstr>
      <vt:lpstr>SONALI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soni</dc:creator>
  <cp:lastModifiedBy>prashant soni</cp:lastModifiedBy>
  <dcterms:created xsi:type="dcterms:W3CDTF">2026-09-03T08:31:46Z</dcterms:created>
  <dcterms:modified xsi:type="dcterms:W3CDTF">2026-09-10T14:39:22Z</dcterms:modified>
</cp:coreProperties>
</file>